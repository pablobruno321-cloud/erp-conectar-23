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" sheetId="1" r:id="rId5"/>
    <sheet state="visible" name="Proveedores" sheetId="2" r:id="rId6"/>
  </sheets>
  <definedNames>
    <definedName hidden="1" localSheetId="0" name="_xlnm._FilterDatabase">Tabla!$A$1:$Z$4040</definedName>
  </definedNames>
  <calcPr/>
</workbook>
</file>

<file path=xl/sharedStrings.xml><?xml version="1.0" encoding="utf-8"?>
<sst xmlns="http://schemas.openxmlformats.org/spreadsheetml/2006/main" count="894" uniqueCount="120">
  <si>
    <t>Proveedor</t>
  </si>
  <si>
    <t>Fruta</t>
  </si>
  <si>
    <t>Varidad</t>
  </si>
  <si>
    <t>Clasificacion</t>
  </si>
  <si>
    <t>Envase</t>
  </si>
  <si>
    <t>Kg</t>
  </si>
  <si>
    <t>Marca</t>
  </si>
  <si>
    <t>Aldrighetti Rudi</t>
  </si>
  <si>
    <t>Manzana</t>
  </si>
  <si>
    <t>Gala</t>
  </si>
  <si>
    <t>Primera</t>
  </si>
  <si>
    <t>Caja</t>
  </si>
  <si>
    <t>Segunda</t>
  </si>
  <si>
    <t>Jaulon</t>
  </si>
  <si>
    <t>Granel Elegido</t>
  </si>
  <si>
    <t>Jaula</t>
  </si>
  <si>
    <t>Granel comercial</t>
  </si>
  <si>
    <t>Red</t>
  </si>
  <si>
    <t>Granny Smith</t>
  </si>
  <si>
    <t>Pera</t>
  </si>
  <si>
    <t>Giffard</t>
  </si>
  <si>
    <t>Granel</t>
  </si>
  <si>
    <t>Williams</t>
  </si>
  <si>
    <t>Comercial</t>
  </si>
  <si>
    <t>D. Cristina</t>
  </si>
  <si>
    <t>Pakams</t>
  </si>
  <si>
    <t>Battaglio</t>
  </si>
  <si>
    <t>Banana</t>
  </si>
  <si>
    <t>Cavendish</t>
  </si>
  <si>
    <t>Elegida Superior</t>
  </si>
  <si>
    <t>Piña</t>
  </si>
  <si>
    <t>Fresh Pineapple</t>
  </si>
  <si>
    <t>Unica</t>
  </si>
  <si>
    <t>Super Sweet</t>
  </si>
  <si>
    <t>Terrasol</t>
  </si>
  <si>
    <t>Palta</t>
  </si>
  <si>
    <t>Hass</t>
  </si>
  <si>
    <t>Limon</t>
  </si>
  <si>
    <t>Brasil</t>
  </si>
  <si>
    <t>Contadini</t>
  </si>
  <si>
    <t>Don Aldo</t>
  </si>
  <si>
    <t>Plafon</t>
  </si>
  <si>
    <t>jaula</t>
  </si>
  <si>
    <t>Recolta</t>
  </si>
  <si>
    <t>Ecco Argentina</t>
  </si>
  <si>
    <t>Kiwi C 20</t>
  </si>
  <si>
    <t>Importado</t>
  </si>
  <si>
    <t>Natureza</t>
  </si>
  <si>
    <t>Kiwi C 23</t>
  </si>
  <si>
    <t>Kiwi C25</t>
  </si>
  <si>
    <t>Kiwi C 27</t>
  </si>
  <si>
    <t>Escorpio</t>
  </si>
  <si>
    <t>Willimas</t>
  </si>
  <si>
    <t>Martin Garcia</t>
  </si>
  <si>
    <t>Linea Sur</t>
  </si>
  <si>
    <t>Daniel Juvel</t>
  </si>
  <si>
    <t>Ciruela</t>
  </si>
  <si>
    <t>Negra 14 KG</t>
  </si>
  <si>
    <t>Juvel</t>
  </si>
  <si>
    <t>D Agen</t>
  </si>
  <si>
    <t>Gotita de Miel 10 Kg</t>
  </si>
  <si>
    <t>Gotita de Miel 12 Kg</t>
  </si>
  <si>
    <t>Negra Friar granel 14 Kg</t>
  </si>
  <si>
    <t>C 51</t>
  </si>
  <si>
    <t xml:space="preserve">Negra Friar envalado  Nr 55 </t>
  </si>
  <si>
    <t>C 48</t>
  </si>
  <si>
    <t>Negra Friar envalado  Nr 51</t>
  </si>
  <si>
    <t>C 45/42</t>
  </si>
  <si>
    <t>Negra friar envalado Nr 48</t>
  </si>
  <si>
    <t>Negra Friar envalado Nro 45-42</t>
  </si>
  <si>
    <t>C 37/28</t>
  </si>
  <si>
    <t>Larryan envalado Nro 32-28</t>
  </si>
  <si>
    <t>Larry Ann C 26/28</t>
  </si>
  <si>
    <t>C 37 / 26</t>
  </si>
  <si>
    <t>Larry Ann C 37/30</t>
  </si>
  <si>
    <t>Larry Ann C 42/32</t>
  </si>
  <si>
    <t xml:space="preserve">Black Kambel </t>
  </si>
  <si>
    <t>Black Kambel C 55</t>
  </si>
  <si>
    <t>Angeleno C 51</t>
  </si>
  <si>
    <t>Angeleno Granel</t>
  </si>
  <si>
    <t>Durazno</t>
  </si>
  <si>
    <t>Si Leidy</t>
  </si>
  <si>
    <t>T Chico</t>
  </si>
  <si>
    <t>T Grande</t>
  </si>
  <si>
    <t>Milenium</t>
  </si>
  <si>
    <t>C 28 / 20</t>
  </si>
  <si>
    <t>Elegant Leidy</t>
  </si>
  <si>
    <t>C 32 / 36</t>
  </si>
  <si>
    <t>O´Henry C 32</t>
  </si>
  <si>
    <t>O´Henry C 28</t>
  </si>
  <si>
    <t>Pelon</t>
  </si>
  <si>
    <t>Caldesi 2010</t>
  </si>
  <si>
    <t>C 37</t>
  </si>
  <si>
    <t>Caldesi 2000</t>
  </si>
  <si>
    <t>Venus</t>
  </si>
  <si>
    <t>C 24 / 32</t>
  </si>
  <si>
    <t>Fantasia</t>
  </si>
  <si>
    <t>C 22 / 26</t>
  </si>
  <si>
    <t>Fantasia C 37</t>
  </si>
  <si>
    <t>Uva</t>
  </si>
  <si>
    <t>Blanca Aurora C/S x 10Kg</t>
  </si>
  <si>
    <t>Red Glove x 10 Kg</t>
  </si>
  <si>
    <t>Cardenal Negra</t>
  </si>
  <si>
    <t>Moscatel Rosada x 10 Kg</t>
  </si>
  <si>
    <t>Tomate</t>
  </si>
  <si>
    <t>Salsa</t>
  </si>
  <si>
    <t>Cereza x 11 KG</t>
  </si>
  <si>
    <t>JUvel</t>
  </si>
  <si>
    <t>Melon</t>
  </si>
  <si>
    <t>Blanco</t>
  </si>
  <si>
    <t>Hacienda Martinez</t>
  </si>
  <si>
    <t>Argentina</t>
  </si>
  <si>
    <t>caja</t>
  </si>
  <si>
    <t>Yamara</t>
  </si>
  <si>
    <t>Nieveterna</t>
  </si>
  <si>
    <t>Rojo</t>
  </si>
  <si>
    <t>Red Glove</t>
  </si>
  <si>
    <t>Amarillo</t>
  </si>
  <si>
    <t>Pinino</t>
  </si>
  <si>
    <t>Larry Ann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</si>
</sst>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FFFFFF"/>
      <name val="Calibri"/>
    </font>
    <font>
      <sz val="10.0"/>
      <color theme="1"/>
      <name val="Calibri"/>
    </font>
    <font>
      <sz val="10.0"/>
      <color rgb="FF000000"/>
      <name val="Calibri"/>
    </font>
    <font>
      <b/>
      <color rgb="FFFFFFFF"/>
      <name val="Calibri"/>
    </font>
    <font>
      <color theme="1"/>
      <name val="Arial"/>
    </font>
    <font>
      <sz val="9.0"/>
      <color theme="1"/>
      <name val="Calibri"/>
    </font>
    <font>
      <b/>
      <sz val="9.0"/>
      <color theme="1"/>
      <name val="Calibri"/>
    </font>
    <font>
      <u/>
      <sz val="9.0"/>
      <color rgb="FF1155CC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2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s.truccolo@battaglio.com.ar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5"/>
    <col customWidth="1" min="3" max="3" width="22.13"/>
    <col customWidth="1" min="4" max="4" width="22.5"/>
    <col customWidth="1" min="5" max="5" width="16.5"/>
    <col customWidth="1" min="6" max="6" width="7.13"/>
    <col customWidth="1" min="7" max="7" width="8.5"/>
    <col customWidth="1" min="8" max="26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3" t="s">
        <v>4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/>
      <c r="G2" s="5"/>
      <c r="H2" s="2"/>
      <c r="I2" s="2"/>
      <c r="J2" s="2" t="s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7</v>
      </c>
      <c r="B3" s="4" t="s">
        <v>8</v>
      </c>
      <c r="C3" s="4" t="s">
        <v>9</v>
      </c>
      <c r="D3" s="4" t="s">
        <v>12</v>
      </c>
      <c r="E3" s="4" t="s">
        <v>13</v>
      </c>
      <c r="F3" s="5"/>
      <c r="G3" s="5"/>
      <c r="H3" s="2"/>
      <c r="I3" s="2"/>
      <c r="J3" s="2" t="s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7</v>
      </c>
      <c r="B4" s="4" t="s">
        <v>8</v>
      </c>
      <c r="C4" s="4" t="s">
        <v>9</v>
      </c>
      <c r="D4" s="4" t="s">
        <v>14</v>
      </c>
      <c r="E4" s="4" t="s">
        <v>15</v>
      </c>
      <c r="F4" s="5"/>
      <c r="G4" s="5"/>
      <c r="H4" s="2"/>
      <c r="I4" s="2"/>
      <c r="J4" s="2" t="s">
        <v>15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7</v>
      </c>
      <c r="B5" s="4" t="s">
        <v>8</v>
      </c>
      <c r="C5" s="4" t="s">
        <v>9</v>
      </c>
      <c r="D5" s="4" t="s">
        <v>16</v>
      </c>
      <c r="E5" s="4" t="s">
        <v>15</v>
      </c>
      <c r="F5" s="5"/>
      <c r="G5" s="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7</v>
      </c>
      <c r="B6" s="4" t="s">
        <v>8</v>
      </c>
      <c r="C6" s="4" t="s">
        <v>17</v>
      </c>
      <c r="D6" s="4" t="s">
        <v>10</v>
      </c>
      <c r="E6" s="4" t="s">
        <v>11</v>
      </c>
      <c r="F6" s="5"/>
      <c r="G6" s="5"/>
      <c r="H6" s="2"/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7</v>
      </c>
      <c r="B7" s="4" t="s">
        <v>8</v>
      </c>
      <c r="C7" s="4" t="s">
        <v>17</v>
      </c>
      <c r="D7" s="4" t="s">
        <v>12</v>
      </c>
      <c r="E7" s="4" t="s">
        <v>13</v>
      </c>
      <c r="F7" s="5"/>
      <c r="G7" s="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7</v>
      </c>
      <c r="B8" s="4" t="s">
        <v>8</v>
      </c>
      <c r="C8" s="4" t="s">
        <v>17</v>
      </c>
      <c r="D8" s="4" t="s">
        <v>14</v>
      </c>
      <c r="E8" s="4" t="s">
        <v>15</v>
      </c>
      <c r="F8" s="5"/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7</v>
      </c>
      <c r="B9" s="4" t="s">
        <v>8</v>
      </c>
      <c r="C9" s="4" t="s">
        <v>17</v>
      </c>
      <c r="D9" s="4" t="s">
        <v>16</v>
      </c>
      <c r="E9" s="4" t="s">
        <v>15</v>
      </c>
      <c r="F9" s="5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7</v>
      </c>
      <c r="B10" s="4" t="s">
        <v>8</v>
      </c>
      <c r="C10" s="4" t="s">
        <v>18</v>
      </c>
      <c r="D10" s="4" t="s">
        <v>10</v>
      </c>
      <c r="E10" s="4" t="s">
        <v>11</v>
      </c>
      <c r="F10" s="5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7</v>
      </c>
      <c r="B11" s="4" t="s">
        <v>8</v>
      </c>
      <c r="C11" s="4" t="s">
        <v>18</v>
      </c>
      <c r="D11" s="4" t="s">
        <v>12</v>
      </c>
      <c r="E11" s="4" t="s">
        <v>13</v>
      </c>
      <c r="F11" s="5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7</v>
      </c>
      <c r="B12" s="4" t="s">
        <v>8</v>
      </c>
      <c r="C12" s="4" t="s">
        <v>18</v>
      </c>
      <c r="D12" s="4" t="s">
        <v>14</v>
      </c>
      <c r="E12" s="4" t="s">
        <v>15</v>
      </c>
      <c r="F12" s="5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7</v>
      </c>
      <c r="B13" s="4" t="s">
        <v>8</v>
      </c>
      <c r="C13" s="4" t="s">
        <v>18</v>
      </c>
      <c r="D13" s="4" t="s">
        <v>16</v>
      </c>
      <c r="E13" s="4" t="s">
        <v>15</v>
      </c>
      <c r="F13" s="5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7</v>
      </c>
      <c r="B14" s="4" t="s">
        <v>19</v>
      </c>
      <c r="C14" s="4" t="s">
        <v>20</v>
      </c>
      <c r="D14" s="4" t="s">
        <v>10</v>
      </c>
      <c r="E14" s="4" t="s">
        <v>11</v>
      </c>
      <c r="F14" s="5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7</v>
      </c>
      <c r="B15" s="4" t="s">
        <v>19</v>
      </c>
      <c r="C15" s="4" t="s">
        <v>20</v>
      </c>
      <c r="D15" s="4" t="s">
        <v>12</v>
      </c>
      <c r="E15" s="4" t="s">
        <v>13</v>
      </c>
      <c r="F15" s="5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7</v>
      </c>
      <c r="B16" s="4" t="s">
        <v>19</v>
      </c>
      <c r="C16" s="4" t="s">
        <v>20</v>
      </c>
      <c r="D16" s="4" t="s">
        <v>21</v>
      </c>
      <c r="E16" s="4" t="s">
        <v>15</v>
      </c>
      <c r="F16" s="5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7</v>
      </c>
      <c r="B17" s="4" t="s">
        <v>19</v>
      </c>
      <c r="C17" s="4" t="s">
        <v>22</v>
      </c>
      <c r="D17" s="4" t="s">
        <v>10</v>
      </c>
      <c r="E17" s="4" t="s">
        <v>11</v>
      </c>
      <c r="F17" s="5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7</v>
      </c>
      <c r="B18" s="4" t="s">
        <v>19</v>
      </c>
      <c r="C18" s="4" t="s">
        <v>22</v>
      </c>
      <c r="D18" s="4" t="s">
        <v>23</v>
      </c>
      <c r="E18" s="4" t="s">
        <v>15</v>
      </c>
      <c r="G18" s="4" t="s">
        <v>24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7</v>
      </c>
      <c r="B19" s="4" t="s">
        <v>19</v>
      </c>
      <c r="C19" s="4" t="s">
        <v>22</v>
      </c>
      <c r="D19" s="4" t="s">
        <v>21</v>
      </c>
      <c r="E19" s="4" t="s">
        <v>15</v>
      </c>
      <c r="F19" s="5"/>
      <c r="G19" s="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7</v>
      </c>
      <c r="B20" s="4" t="s">
        <v>19</v>
      </c>
      <c r="C20" s="4" t="s">
        <v>25</v>
      </c>
      <c r="D20" s="4" t="s">
        <v>10</v>
      </c>
      <c r="E20" s="4" t="s">
        <v>11</v>
      </c>
      <c r="F20" s="5"/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s">
        <v>7</v>
      </c>
      <c r="B21" s="4" t="s">
        <v>19</v>
      </c>
      <c r="C21" s="4" t="s">
        <v>25</v>
      </c>
      <c r="D21" s="4" t="s">
        <v>12</v>
      </c>
      <c r="E21" s="4" t="s">
        <v>13</v>
      </c>
      <c r="F21" s="5"/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s">
        <v>7</v>
      </c>
      <c r="B22" s="4" t="s">
        <v>19</v>
      </c>
      <c r="C22" s="4" t="s">
        <v>25</v>
      </c>
      <c r="D22" s="4" t="s">
        <v>21</v>
      </c>
      <c r="E22" s="4" t="s">
        <v>15</v>
      </c>
      <c r="F22" s="5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s">
        <v>26</v>
      </c>
      <c r="B23" s="4" t="s">
        <v>27</v>
      </c>
      <c r="C23" s="4" t="s">
        <v>28</v>
      </c>
      <c r="D23" s="4" t="s">
        <v>29</v>
      </c>
      <c r="E23" s="4" t="s">
        <v>11</v>
      </c>
      <c r="F23" s="4">
        <v>20.0</v>
      </c>
      <c r="G23" s="4" t="s">
        <v>26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s">
        <v>26</v>
      </c>
      <c r="B24" s="4" t="s">
        <v>30</v>
      </c>
      <c r="C24" s="4" t="s">
        <v>31</v>
      </c>
      <c r="D24" s="4" t="s">
        <v>32</v>
      </c>
      <c r="E24" s="4" t="s">
        <v>11</v>
      </c>
      <c r="F24" s="4">
        <v>10.0</v>
      </c>
      <c r="G24" s="4" t="s">
        <v>26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s">
        <v>26</v>
      </c>
      <c r="B25" s="4" t="s">
        <v>30</v>
      </c>
      <c r="C25" s="4" t="s">
        <v>31</v>
      </c>
      <c r="D25" s="4" t="s">
        <v>33</v>
      </c>
      <c r="E25" s="4" t="s">
        <v>11</v>
      </c>
      <c r="F25" s="4">
        <v>12.0</v>
      </c>
      <c r="G25" s="4" t="s">
        <v>34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s">
        <v>26</v>
      </c>
      <c r="B26" s="4" t="s">
        <v>35</v>
      </c>
      <c r="C26" s="4" t="s">
        <v>36</v>
      </c>
      <c r="D26" s="4" t="s">
        <v>10</v>
      </c>
      <c r="E26" s="4" t="s">
        <v>11</v>
      </c>
      <c r="F26" s="5"/>
      <c r="G26" s="4" t="s">
        <v>26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s">
        <v>26</v>
      </c>
      <c r="B27" s="4" t="s">
        <v>37</v>
      </c>
      <c r="C27" s="4" t="s">
        <v>38</v>
      </c>
      <c r="D27" s="4" t="s">
        <v>10</v>
      </c>
      <c r="E27" s="4" t="s">
        <v>11</v>
      </c>
      <c r="F27" s="5"/>
      <c r="G27" s="4" t="s">
        <v>26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s">
        <v>39</v>
      </c>
      <c r="B28" s="4" t="s">
        <v>8</v>
      </c>
      <c r="C28" s="4" t="s">
        <v>9</v>
      </c>
      <c r="D28" s="4" t="s">
        <v>10</v>
      </c>
      <c r="E28" s="4" t="s">
        <v>11</v>
      </c>
      <c r="F28" s="5"/>
      <c r="G28" s="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s">
        <v>39</v>
      </c>
      <c r="B29" s="4" t="s">
        <v>8</v>
      </c>
      <c r="C29" s="4" t="s">
        <v>9</v>
      </c>
      <c r="D29" s="4" t="s">
        <v>12</v>
      </c>
      <c r="E29" s="4" t="s">
        <v>13</v>
      </c>
      <c r="F29" s="5"/>
      <c r="G29" s="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s">
        <v>39</v>
      </c>
      <c r="B30" s="4" t="s">
        <v>8</v>
      </c>
      <c r="C30" s="4" t="s">
        <v>9</v>
      </c>
      <c r="D30" s="4" t="s">
        <v>14</v>
      </c>
      <c r="E30" s="4" t="s">
        <v>15</v>
      </c>
      <c r="F30" s="5"/>
      <c r="G30" s="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s">
        <v>39</v>
      </c>
      <c r="B31" s="4" t="s">
        <v>8</v>
      </c>
      <c r="C31" s="4" t="s">
        <v>9</v>
      </c>
      <c r="D31" s="4" t="s">
        <v>16</v>
      </c>
      <c r="E31" s="4" t="s">
        <v>15</v>
      </c>
      <c r="F31" s="5"/>
      <c r="G31" s="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s">
        <v>39</v>
      </c>
      <c r="B32" s="4" t="s">
        <v>8</v>
      </c>
      <c r="C32" s="4" t="s">
        <v>17</v>
      </c>
      <c r="D32" s="4" t="s">
        <v>10</v>
      </c>
      <c r="E32" s="4" t="s">
        <v>11</v>
      </c>
      <c r="F32" s="5"/>
      <c r="G32" s="4" t="s">
        <v>40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s">
        <v>39</v>
      </c>
      <c r="B33" s="4" t="s">
        <v>8</v>
      </c>
      <c r="C33" s="4" t="s">
        <v>17</v>
      </c>
      <c r="D33" s="4" t="s">
        <v>41</v>
      </c>
      <c r="E33" s="4" t="s">
        <v>11</v>
      </c>
      <c r="F33" s="5"/>
      <c r="G33" s="4" t="s">
        <v>40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 t="s">
        <v>39</v>
      </c>
      <c r="B34" s="4" t="s">
        <v>8</v>
      </c>
      <c r="C34" s="4" t="s">
        <v>17</v>
      </c>
      <c r="D34" s="4" t="s">
        <v>12</v>
      </c>
      <c r="E34" s="4" t="s">
        <v>42</v>
      </c>
      <c r="F34" s="5"/>
      <c r="G34" s="5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 t="s">
        <v>39</v>
      </c>
      <c r="B35" s="4" t="s">
        <v>8</v>
      </c>
      <c r="C35" s="4" t="s">
        <v>17</v>
      </c>
      <c r="D35" s="4" t="s">
        <v>14</v>
      </c>
      <c r="E35" s="4" t="s">
        <v>15</v>
      </c>
      <c r="F35" s="5"/>
      <c r="G35" s="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 t="s">
        <v>39</v>
      </c>
      <c r="B36" s="4" t="s">
        <v>8</v>
      </c>
      <c r="C36" s="4" t="s">
        <v>17</v>
      </c>
      <c r="D36" s="4" t="s">
        <v>16</v>
      </c>
      <c r="E36" s="4" t="s">
        <v>15</v>
      </c>
      <c r="F36" s="5"/>
      <c r="G36" s="5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 t="s">
        <v>39</v>
      </c>
      <c r="B37" s="4" t="s">
        <v>8</v>
      </c>
      <c r="C37" s="4" t="s">
        <v>18</v>
      </c>
      <c r="D37" s="4" t="s">
        <v>10</v>
      </c>
      <c r="E37" s="4" t="s">
        <v>11</v>
      </c>
      <c r="F37" s="5"/>
      <c r="G37" s="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 t="s">
        <v>39</v>
      </c>
      <c r="B38" s="4" t="s">
        <v>8</v>
      </c>
      <c r="C38" s="4" t="s">
        <v>18</v>
      </c>
      <c r="D38" s="4" t="s">
        <v>12</v>
      </c>
      <c r="E38" s="4" t="s">
        <v>42</v>
      </c>
      <c r="F38" s="5"/>
      <c r="G38" s="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 t="s">
        <v>39</v>
      </c>
      <c r="B39" s="4" t="s">
        <v>8</v>
      </c>
      <c r="C39" s="4" t="s">
        <v>18</v>
      </c>
      <c r="D39" s="4" t="s">
        <v>14</v>
      </c>
      <c r="E39" s="4" t="s">
        <v>15</v>
      </c>
      <c r="F39" s="5"/>
      <c r="G39" s="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s">
        <v>39</v>
      </c>
      <c r="B40" s="4" t="s">
        <v>8</v>
      </c>
      <c r="C40" s="4" t="s">
        <v>18</v>
      </c>
      <c r="D40" s="4" t="s">
        <v>16</v>
      </c>
      <c r="E40" s="4" t="s">
        <v>15</v>
      </c>
      <c r="F40" s="5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 t="s">
        <v>39</v>
      </c>
      <c r="B41" s="4" t="s">
        <v>19</v>
      </c>
      <c r="C41" s="4" t="s">
        <v>20</v>
      </c>
      <c r="D41" s="4" t="s">
        <v>10</v>
      </c>
      <c r="E41" s="4" t="s">
        <v>11</v>
      </c>
      <c r="F41" s="5"/>
      <c r="G41" s="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 t="s">
        <v>39</v>
      </c>
      <c r="B42" s="4" t="s">
        <v>19</v>
      </c>
      <c r="C42" s="4" t="s">
        <v>20</v>
      </c>
      <c r="D42" s="4" t="s">
        <v>12</v>
      </c>
      <c r="E42" s="4" t="s">
        <v>42</v>
      </c>
      <c r="F42" s="5"/>
      <c r="G42" s="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 t="s">
        <v>39</v>
      </c>
      <c r="B43" s="4" t="s">
        <v>19</v>
      </c>
      <c r="C43" s="4" t="s">
        <v>20</v>
      </c>
      <c r="D43" s="4" t="s">
        <v>21</v>
      </c>
      <c r="E43" s="4" t="s">
        <v>15</v>
      </c>
      <c r="F43" s="5"/>
      <c r="G43" s="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 t="s">
        <v>39</v>
      </c>
      <c r="B44" s="4" t="s">
        <v>19</v>
      </c>
      <c r="C44" s="4" t="s">
        <v>22</v>
      </c>
      <c r="D44" s="4" t="s">
        <v>10</v>
      </c>
      <c r="E44" s="4" t="s">
        <v>11</v>
      </c>
      <c r="F44" s="5"/>
      <c r="G44" s="4" t="s">
        <v>43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 t="s">
        <v>39</v>
      </c>
      <c r="B45" s="4" t="s">
        <v>19</v>
      </c>
      <c r="C45" s="4" t="s">
        <v>22</v>
      </c>
      <c r="D45" s="4" t="s">
        <v>12</v>
      </c>
      <c r="E45" s="4" t="s">
        <v>15</v>
      </c>
      <c r="F45" s="5"/>
      <c r="G45" s="4" t="s">
        <v>43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 t="s">
        <v>39</v>
      </c>
      <c r="B46" s="4" t="s">
        <v>19</v>
      </c>
      <c r="C46" s="4" t="s">
        <v>22</v>
      </c>
      <c r="D46" s="4" t="s">
        <v>21</v>
      </c>
      <c r="E46" s="4" t="s">
        <v>15</v>
      </c>
      <c r="F46" s="5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 t="s">
        <v>39</v>
      </c>
      <c r="B47" s="4" t="s">
        <v>19</v>
      </c>
      <c r="C47" s="4" t="s">
        <v>25</v>
      </c>
      <c r="D47" s="4" t="s">
        <v>10</v>
      </c>
      <c r="E47" s="4" t="s">
        <v>11</v>
      </c>
      <c r="F47" s="5"/>
      <c r="G47" s="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 t="s">
        <v>39</v>
      </c>
      <c r="B48" s="4" t="s">
        <v>19</v>
      </c>
      <c r="C48" s="4" t="s">
        <v>25</v>
      </c>
      <c r="D48" s="4" t="s">
        <v>12</v>
      </c>
      <c r="E48" s="4" t="s">
        <v>42</v>
      </c>
      <c r="F48" s="5"/>
      <c r="G48" s="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 t="s">
        <v>39</v>
      </c>
      <c r="B49" s="4" t="s">
        <v>19</v>
      </c>
      <c r="C49" s="4" t="s">
        <v>25</v>
      </c>
      <c r="D49" s="4" t="s">
        <v>21</v>
      </c>
      <c r="E49" s="4" t="s">
        <v>15</v>
      </c>
      <c r="F49" s="5"/>
      <c r="G49" s="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 t="s">
        <v>44</v>
      </c>
      <c r="B50" s="4" t="s">
        <v>45</v>
      </c>
      <c r="C50" s="4" t="s">
        <v>32</v>
      </c>
      <c r="D50" s="4" t="s">
        <v>46</v>
      </c>
      <c r="E50" s="4" t="s">
        <v>11</v>
      </c>
      <c r="G50" s="4" t="s">
        <v>47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 t="s">
        <v>44</v>
      </c>
      <c r="B51" s="4" t="s">
        <v>48</v>
      </c>
      <c r="C51" s="4" t="s">
        <v>32</v>
      </c>
      <c r="D51" s="4" t="s">
        <v>46</v>
      </c>
      <c r="E51" s="4" t="s">
        <v>11</v>
      </c>
      <c r="G51" s="4" t="s">
        <v>47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 t="s">
        <v>44</v>
      </c>
      <c r="B52" s="4" t="s">
        <v>49</v>
      </c>
      <c r="C52" s="4" t="s">
        <v>32</v>
      </c>
      <c r="D52" s="4" t="s">
        <v>46</v>
      </c>
      <c r="E52" s="4" t="s">
        <v>11</v>
      </c>
      <c r="G52" s="4" t="s">
        <v>47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 t="s">
        <v>44</v>
      </c>
      <c r="B53" s="4" t="s">
        <v>50</v>
      </c>
      <c r="C53" s="4" t="s">
        <v>32</v>
      </c>
      <c r="D53" s="4" t="s">
        <v>46</v>
      </c>
      <c r="E53" s="4" t="s">
        <v>11</v>
      </c>
      <c r="G53" s="4" t="s">
        <v>47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 t="s">
        <v>51</v>
      </c>
      <c r="B54" s="4" t="s">
        <v>8</v>
      </c>
      <c r="C54" s="4" t="s">
        <v>9</v>
      </c>
      <c r="D54" s="4" t="s">
        <v>10</v>
      </c>
      <c r="E54" s="4" t="s">
        <v>11</v>
      </c>
      <c r="F54" s="5"/>
      <c r="G54" s="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 t="s">
        <v>51</v>
      </c>
      <c r="B55" s="4" t="s">
        <v>8</v>
      </c>
      <c r="C55" s="4" t="s">
        <v>9</v>
      </c>
      <c r="D55" s="4" t="s">
        <v>12</v>
      </c>
      <c r="E55" s="4" t="s">
        <v>13</v>
      </c>
      <c r="F55" s="5"/>
      <c r="G55" s="5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 t="s">
        <v>51</v>
      </c>
      <c r="B56" s="4" t="s">
        <v>8</v>
      </c>
      <c r="C56" s="4" t="s">
        <v>9</v>
      </c>
      <c r="D56" s="4" t="s">
        <v>14</v>
      </c>
      <c r="E56" s="4" t="s">
        <v>15</v>
      </c>
      <c r="F56" s="5"/>
      <c r="G56" s="5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 t="s">
        <v>51</v>
      </c>
      <c r="B57" s="4" t="s">
        <v>8</v>
      </c>
      <c r="C57" s="4" t="s">
        <v>9</v>
      </c>
      <c r="D57" s="4" t="s">
        <v>16</v>
      </c>
      <c r="E57" s="4" t="s">
        <v>15</v>
      </c>
      <c r="F57" s="5"/>
      <c r="G57" s="5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 t="s">
        <v>51</v>
      </c>
      <c r="B58" s="4" t="s">
        <v>8</v>
      </c>
      <c r="C58" s="4" t="s">
        <v>17</v>
      </c>
      <c r="D58" s="4" t="s">
        <v>10</v>
      </c>
      <c r="E58" s="4" t="s">
        <v>11</v>
      </c>
      <c r="F58" s="5"/>
      <c r="G58" s="5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 t="s">
        <v>51</v>
      </c>
      <c r="B59" s="4" t="s">
        <v>8</v>
      </c>
      <c r="C59" s="4" t="s">
        <v>17</v>
      </c>
      <c r="D59" s="4" t="s">
        <v>12</v>
      </c>
      <c r="E59" s="4" t="s">
        <v>13</v>
      </c>
      <c r="F59" s="5"/>
      <c r="G59" s="5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 t="s">
        <v>51</v>
      </c>
      <c r="B60" s="4" t="s">
        <v>8</v>
      </c>
      <c r="C60" s="4" t="s">
        <v>17</v>
      </c>
      <c r="D60" s="4" t="s">
        <v>14</v>
      </c>
      <c r="E60" s="4" t="s">
        <v>15</v>
      </c>
      <c r="F60" s="5"/>
      <c r="G60" s="5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 t="s">
        <v>51</v>
      </c>
      <c r="B61" s="4" t="s">
        <v>8</v>
      </c>
      <c r="C61" s="4" t="s">
        <v>17</v>
      </c>
      <c r="D61" s="4" t="s">
        <v>16</v>
      </c>
      <c r="E61" s="4" t="s">
        <v>15</v>
      </c>
      <c r="F61" s="5"/>
      <c r="G61" s="5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 t="s">
        <v>51</v>
      </c>
      <c r="B62" s="4" t="s">
        <v>8</v>
      </c>
      <c r="C62" s="4" t="s">
        <v>18</v>
      </c>
      <c r="D62" s="4" t="s">
        <v>10</v>
      </c>
      <c r="E62" s="4" t="s">
        <v>11</v>
      </c>
      <c r="F62" s="5"/>
      <c r="G62" s="5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 t="s">
        <v>51</v>
      </c>
      <c r="B63" s="4" t="s">
        <v>8</v>
      </c>
      <c r="C63" s="4" t="s">
        <v>18</v>
      </c>
      <c r="D63" s="4" t="s">
        <v>12</v>
      </c>
      <c r="E63" s="4" t="s">
        <v>13</v>
      </c>
      <c r="F63" s="5"/>
      <c r="G63" s="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 t="s">
        <v>51</v>
      </c>
      <c r="B64" s="4" t="s">
        <v>8</v>
      </c>
      <c r="C64" s="4" t="s">
        <v>18</v>
      </c>
      <c r="D64" s="4" t="s">
        <v>14</v>
      </c>
      <c r="E64" s="4" t="s">
        <v>15</v>
      </c>
      <c r="F64" s="5"/>
      <c r="G64" s="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 t="s">
        <v>51</v>
      </c>
      <c r="B65" s="4" t="s">
        <v>8</v>
      </c>
      <c r="C65" s="4" t="s">
        <v>18</v>
      </c>
      <c r="D65" s="4" t="s">
        <v>16</v>
      </c>
      <c r="E65" s="4" t="s">
        <v>15</v>
      </c>
      <c r="F65" s="5"/>
      <c r="G65" s="5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 t="s">
        <v>51</v>
      </c>
      <c r="B66" s="4" t="s">
        <v>19</v>
      </c>
      <c r="C66" s="4" t="s">
        <v>20</v>
      </c>
      <c r="D66" s="4" t="s">
        <v>10</v>
      </c>
      <c r="E66" s="4" t="s">
        <v>11</v>
      </c>
      <c r="F66" s="5"/>
      <c r="G66" s="5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 t="s">
        <v>51</v>
      </c>
      <c r="B67" s="4" t="s">
        <v>19</v>
      </c>
      <c r="C67" s="4" t="s">
        <v>20</v>
      </c>
      <c r="D67" s="4" t="s">
        <v>12</v>
      </c>
      <c r="E67" s="4" t="s">
        <v>13</v>
      </c>
      <c r="F67" s="5"/>
      <c r="G67" s="5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 t="s">
        <v>51</v>
      </c>
      <c r="B68" s="4" t="s">
        <v>19</v>
      </c>
      <c r="C68" s="4" t="s">
        <v>20</v>
      </c>
      <c r="D68" s="4" t="s">
        <v>21</v>
      </c>
      <c r="E68" s="4" t="s">
        <v>15</v>
      </c>
      <c r="F68" s="5"/>
      <c r="G68" s="5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 t="s">
        <v>51</v>
      </c>
      <c r="B69" s="4" t="s">
        <v>19</v>
      </c>
      <c r="C69" s="4" t="s">
        <v>52</v>
      </c>
      <c r="D69" s="4" t="s">
        <v>10</v>
      </c>
      <c r="E69" s="4" t="s">
        <v>11</v>
      </c>
      <c r="F69" s="5"/>
      <c r="G69" s="5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 t="s">
        <v>51</v>
      </c>
      <c r="B70" s="4" t="s">
        <v>19</v>
      </c>
      <c r="C70" s="4" t="s">
        <v>52</v>
      </c>
      <c r="D70" s="4" t="s">
        <v>12</v>
      </c>
      <c r="E70" s="4" t="s">
        <v>13</v>
      </c>
      <c r="F70" s="5"/>
      <c r="G70" s="5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 t="s">
        <v>51</v>
      </c>
      <c r="B71" s="4" t="s">
        <v>19</v>
      </c>
      <c r="C71" s="4" t="s">
        <v>52</v>
      </c>
      <c r="D71" s="4" t="s">
        <v>21</v>
      </c>
      <c r="E71" s="4" t="s">
        <v>15</v>
      </c>
      <c r="F71" s="5"/>
      <c r="G71" s="5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 t="s">
        <v>51</v>
      </c>
      <c r="B72" s="4" t="s">
        <v>19</v>
      </c>
      <c r="C72" s="4" t="s">
        <v>25</v>
      </c>
      <c r="D72" s="4" t="s">
        <v>10</v>
      </c>
      <c r="E72" s="4" t="s">
        <v>11</v>
      </c>
      <c r="F72" s="5"/>
      <c r="G72" s="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 t="s">
        <v>51</v>
      </c>
      <c r="B73" s="4" t="s">
        <v>19</v>
      </c>
      <c r="C73" s="4" t="s">
        <v>25</v>
      </c>
      <c r="D73" s="4" t="s">
        <v>12</v>
      </c>
      <c r="E73" s="4" t="s">
        <v>13</v>
      </c>
      <c r="F73" s="5"/>
      <c r="G73" s="5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 t="s">
        <v>51</v>
      </c>
      <c r="B74" s="4" t="s">
        <v>19</v>
      </c>
      <c r="C74" s="4" t="s">
        <v>25</v>
      </c>
      <c r="D74" s="4" t="s">
        <v>21</v>
      </c>
      <c r="E74" s="4" t="s">
        <v>15</v>
      </c>
      <c r="F74" s="5"/>
      <c r="G74" s="5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 t="s">
        <v>53</v>
      </c>
      <c r="B75" s="4" t="s">
        <v>8</v>
      </c>
      <c r="C75" s="4" t="s">
        <v>9</v>
      </c>
      <c r="D75" s="4" t="s">
        <v>10</v>
      </c>
      <c r="E75" s="4" t="s">
        <v>11</v>
      </c>
      <c r="F75" s="5"/>
      <c r="G75" s="5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 t="s">
        <v>53</v>
      </c>
      <c r="B76" s="4" t="s">
        <v>8</v>
      </c>
      <c r="C76" s="4" t="s">
        <v>9</v>
      </c>
      <c r="D76" s="4" t="s">
        <v>12</v>
      </c>
      <c r="E76" s="4" t="s">
        <v>13</v>
      </c>
      <c r="F76" s="5"/>
      <c r="G76" s="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 t="s">
        <v>53</v>
      </c>
      <c r="B77" s="4" t="s">
        <v>8</v>
      </c>
      <c r="C77" s="4" t="s">
        <v>9</v>
      </c>
      <c r="D77" s="4" t="s">
        <v>14</v>
      </c>
      <c r="E77" s="4" t="s">
        <v>15</v>
      </c>
      <c r="F77" s="5"/>
      <c r="G77" s="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 t="s">
        <v>53</v>
      </c>
      <c r="B78" s="4" t="s">
        <v>8</v>
      </c>
      <c r="C78" s="4" t="s">
        <v>9</v>
      </c>
      <c r="D78" s="4" t="s">
        <v>16</v>
      </c>
      <c r="E78" s="4" t="s">
        <v>15</v>
      </c>
      <c r="F78" s="5"/>
      <c r="G78" s="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 t="s">
        <v>53</v>
      </c>
      <c r="B79" s="4" t="s">
        <v>8</v>
      </c>
      <c r="C79" s="4" t="s">
        <v>17</v>
      </c>
      <c r="D79" s="4" t="s">
        <v>10</v>
      </c>
      <c r="E79" s="4" t="s">
        <v>11</v>
      </c>
      <c r="F79" s="5"/>
      <c r="G79" s="5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 t="s">
        <v>53</v>
      </c>
      <c r="B80" s="4" t="s">
        <v>8</v>
      </c>
      <c r="C80" s="4" t="s">
        <v>17</v>
      </c>
      <c r="D80" s="4" t="s">
        <v>12</v>
      </c>
      <c r="E80" s="4" t="s">
        <v>13</v>
      </c>
      <c r="F80" s="5"/>
      <c r="G80" s="5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 t="s">
        <v>53</v>
      </c>
      <c r="B81" s="4" t="s">
        <v>8</v>
      </c>
      <c r="C81" s="4" t="s">
        <v>17</v>
      </c>
      <c r="D81" s="4" t="s">
        <v>14</v>
      </c>
      <c r="E81" s="4" t="s">
        <v>15</v>
      </c>
      <c r="F81" s="5"/>
      <c r="G81" s="5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 t="s">
        <v>53</v>
      </c>
      <c r="B82" s="4" t="s">
        <v>8</v>
      </c>
      <c r="C82" s="4" t="s">
        <v>17</v>
      </c>
      <c r="D82" s="4" t="s">
        <v>16</v>
      </c>
      <c r="E82" s="4" t="s">
        <v>15</v>
      </c>
      <c r="F82" s="5"/>
      <c r="G82" s="5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 t="s">
        <v>53</v>
      </c>
      <c r="B83" s="4" t="s">
        <v>8</v>
      </c>
      <c r="C83" s="4" t="s">
        <v>18</v>
      </c>
      <c r="D83" s="4" t="s">
        <v>10</v>
      </c>
      <c r="E83" s="4" t="s">
        <v>11</v>
      </c>
      <c r="F83" s="5"/>
      <c r="G83" s="5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 t="s">
        <v>53</v>
      </c>
      <c r="B84" s="4" t="s">
        <v>8</v>
      </c>
      <c r="C84" s="4" t="s">
        <v>18</v>
      </c>
      <c r="D84" s="4" t="s">
        <v>12</v>
      </c>
      <c r="E84" s="4" t="s">
        <v>13</v>
      </c>
      <c r="F84" s="5"/>
      <c r="G84" s="5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 t="s">
        <v>53</v>
      </c>
      <c r="B85" s="4" t="s">
        <v>8</v>
      </c>
      <c r="C85" s="4" t="s">
        <v>18</v>
      </c>
      <c r="D85" s="4" t="s">
        <v>14</v>
      </c>
      <c r="E85" s="4" t="s">
        <v>15</v>
      </c>
      <c r="F85" s="5"/>
      <c r="G85" s="5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 t="s">
        <v>53</v>
      </c>
      <c r="B86" s="4" t="s">
        <v>8</v>
      </c>
      <c r="C86" s="4" t="s">
        <v>18</v>
      </c>
      <c r="D86" s="4" t="s">
        <v>16</v>
      </c>
      <c r="E86" s="4" t="s">
        <v>15</v>
      </c>
      <c r="F86" s="5"/>
      <c r="G86" s="5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 t="s">
        <v>53</v>
      </c>
      <c r="B87" s="4" t="s">
        <v>19</v>
      </c>
      <c r="C87" s="4" t="s">
        <v>20</v>
      </c>
      <c r="D87" s="4" t="s">
        <v>10</v>
      </c>
      <c r="E87" s="4" t="s">
        <v>11</v>
      </c>
      <c r="F87" s="5"/>
      <c r="G87" s="5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 t="s">
        <v>53</v>
      </c>
      <c r="B88" s="4" t="s">
        <v>19</v>
      </c>
      <c r="C88" s="4" t="s">
        <v>20</v>
      </c>
      <c r="D88" s="4" t="s">
        <v>12</v>
      </c>
      <c r="E88" s="4" t="s">
        <v>13</v>
      </c>
      <c r="F88" s="5"/>
      <c r="G88" s="5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 t="s">
        <v>53</v>
      </c>
      <c r="B89" s="4" t="s">
        <v>19</v>
      </c>
      <c r="C89" s="4" t="s">
        <v>20</v>
      </c>
      <c r="D89" s="4" t="s">
        <v>21</v>
      </c>
      <c r="E89" s="4" t="s">
        <v>15</v>
      </c>
      <c r="F89" s="5"/>
      <c r="G89" s="5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 t="s">
        <v>53</v>
      </c>
      <c r="B90" s="4" t="s">
        <v>19</v>
      </c>
      <c r="C90" s="4" t="s">
        <v>22</v>
      </c>
      <c r="D90" s="4" t="s">
        <v>10</v>
      </c>
      <c r="E90" s="4" t="s">
        <v>11</v>
      </c>
      <c r="F90" s="5"/>
      <c r="G90" s="5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 t="s">
        <v>53</v>
      </c>
      <c r="B91" s="4" t="s">
        <v>19</v>
      </c>
      <c r="C91" s="4" t="s">
        <v>22</v>
      </c>
      <c r="D91" s="4" t="s">
        <v>12</v>
      </c>
      <c r="E91" s="4" t="s">
        <v>15</v>
      </c>
      <c r="F91" s="5"/>
      <c r="G91" s="4" t="s">
        <v>54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 t="s">
        <v>53</v>
      </c>
      <c r="B92" s="4" t="s">
        <v>19</v>
      </c>
      <c r="C92" s="4" t="s">
        <v>22</v>
      </c>
      <c r="D92" s="4" t="s">
        <v>21</v>
      </c>
      <c r="E92" s="4" t="s">
        <v>15</v>
      </c>
      <c r="F92" s="5"/>
      <c r="G92" s="5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 t="s">
        <v>53</v>
      </c>
      <c r="B93" s="4" t="s">
        <v>19</v>
      </c>
      <c r="C93" s="4" t="s">
        <v>25</v>
      </c>
      <c r="D93" s="4" t="s">
        <v>10</v>
      </c>
      <c r="E93" s="4" t="s">
        <v>11</v>
      </c>
      <c r="F93" s="5"/>
      <c r="G93" s="5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 t="s">
        <v>53</v>
      </c>
      <c r="B94" s="4" t="s">
        <v>19</v>
      </c>
      <c r="C94" s="4" t="s">
        <v>25</v>
      </c>
      <c r="D94" s="4" t="s">
        <v>12</v>
      </c>
      <c r="E94" s="4" t="s">
        <v>13</v>
      </c>
      <c r="F94" s="5"/>
      <c r="G94" s="5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 t="s">
        <v>53</v>
      </c>
      <c r="B95" s="4" t="s">
        <v>19</v>
      </c>
      <c r="C95" s="4" t="s">
        <v>25</v>
      </c>
      <c r="D95" s="4" t="s">
        <v>21</v>
      </c>
      <c r="E95" s="4" t="s">
        <v>15</v>
      </c>
      <c r="F95" s="5"/>
      <c r="G95" s="5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 t="s">
        <v>55</v>
      </c>
      <c r="B96" s="4" t="s">
        <v>56</v>
      </c>
      <c r="C96" s="4" t="s">
        <v>57</v>
      </c>
      <c r="D96" s="4" t="s">
        <v>21</v>
      </c>
      <c r="E96" s="4" t="s">
        <v>15</v>
      </c>
      <c r="F96" s="4">
        <v>14.0</v>
      </c>
      <c r="G96" s="4" t="s">
        <v>58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 t="s">
        <v>55</v>
      </c>
      <c r="B97" s="4" t="s">
        <v>56</v>
      </c>
      <c r="C97" s="4" t="s">
        <v>59</v>
      </c>
      <c r="D97" s="4" t="s">
        <v>32</v>
      </c>
      <c r="E97" s="4" t="s">
        <v>15</v>
      </c>
      <c r="F97" s="5"/>
      <c r="G97" s="4" t="s">
        <v>58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 t="s">
        <v>55</v>
      </c>
      <c r="B98" s="4" t="s">
        <v>56</v>
      </c>
      <c r="C98" s="4" t="s">
        <v>60</v>
      </c>
      <c r="D98" s="4" t="s">
        <v>32</v>
      </c>
      <c r="E98" s="4" t="s">
        <v>15</v>
      </c>
      <c r="F98" s="4">
        <v>10.0</v>
      </c>
      <c r="G98" s="4" t="s">
        <v>58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 t="s">
        <v>55</v>
      </c>
      <c r="B99" s="4" t="s">
        <v>56</v>
      </c>
      <c r="C99" s="4" t="s">
        <v>61</v>
      </c>
      <c r="D99" s="4" t="s">
        <v>32</v>
      </c>
      <c r="E99" s="4" t="s">
        <v>15</v>
      </c>
      <c r="F99" s="4"/>
      <c r="G99" s="4" t="s">
        <v>58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 t="s">
        <v>55</v>
      </c>
      <c r="B100" s="4" t="s">
        <v>56</v>
      </c>
      <c r="C100" s="4" t="s">
        <v>62</v>
      </c>
      <c r="D100" s="4" t="s">
        <v>32</v>
      </c>
      <c r="E100" s="4" t="s">
        <v>15</v>
      </c>
      <c r="F100" s="4" t="s">
        <v>63</v>
      </c>
      <c r="G100" s="4" t="s">
        <v>58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 t="s">
        <v>55</v>
      </c>
      <c r="B101" s="4" t="s">
        <v>56</v>
      </c>
      <c r="C101" s="4" t="s">
        <v>64</v>
      </c>
      <c r="D101" s="4" t="s">
        <v>32</v>
      </c>
      <c r="E101" s="4" t="s">
        <v>15</v>
      </c>
      <c r="F101" s="5" t="s">
        <v>65</v>
      </c>
      <c r="G101" s="4" t="s">
        <v>58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 t="s">
        <v>55</v>
      </c>
      <c r="B102" s="4" t="s">
        <v>56</v>
      </c>
      <c r="C102" s="4" t="s">
        <v>66</v>
      </c>
      <c r="D102" s="4" t="s">
        <v>32</v>
      </c>
      <c r="E102" s="4" t="s">
        <v>15</v>
      </c>
      <c r="F102" s="4" t="s">
        <v>67</v>
      </c>
      <c r="G102" s="4" t="s">
        <v>58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 t="s">
        <v>55</v>
      </c>
      <c r="B103" s="4" t="s">
        <v>56</v>
      </c>
      <c r="C103" s="4" t="s">
        <v>68</v>
      </c>
      <c r="D103" s="4" t="s">
        <v>32</v>
      </c>
      <c r="E103" s="4" t="s">
        <v>15</v>
      </c>
      <c r="F103" s="4"/>
      <c r="G103" s="4" t="s">
        <v>58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 t="s">
        <v>55</v>
      </c>
      <c r="B104" s="4" t="s">
        <v>56</v>
      </c>
      <c r="C104" s="4" t="s">
        <v>69</v>
      </c>
      <c r="D104" s="4" t="s">
        <v>32</v>
      </c>
      <c r="E104" s="4" t="s">
        <v>15</v>
      </c>
      <c r="F104" s="4" t="s">
        <v>70</v>
      </c>
      <c r="G104" s="4" t="s">
        <v>58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 t="s">
        <v>55</v>
      </c>
      <c r="B105" s="4" t="s">
        <v>56</v>
      </c>
      <c r="C105" s="4" t="s">
        <v>71</v>
      </c>
      <c r="D105" s="4" t="s">
        <v>32</v>
      </c>
      <c r="E105" s="4" t="s">
        <v>15</v>
      </c>
      <c r="F105" s="4" t="s">
        <v>70</v>
      </c>
      <c r="G105" s="4" t="s">
        <v>58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 t="s">
        <v>55</v>
      </c>
      <c r="B106" s="4" t="s">
        <v>56</v>
      </c>
      <c r="C106" s="4" t="s">
        <v>72</v>
      </c>
      <c r="D106" s="4" t="s">
        <v>32</v>
      </c>
      <c r="E106" s="4" t="s">
        <v>15</v>
      </c>
      <c r="F106" s="4" t="s">
        <v>73</v>
      </c>
      <c r="G106" s="4" t="s">
        <v>58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 t="s">
        <v>55</v>
      </c>
      <c r="B107" s="4" t="s">
        <v>56</v>
      </c>
      <c r="C107" s="4" t="s">
        <v>74</v>
      </c>
      <c r="D107" s="4" t="s">
        <v>32</v>
      </c>
      <c r="E107" s="4" t="s">
        <v>15</v>
      </c>
      <c r="F107" s="4" t="s">
        <v>73</v>
      </c>
      <c r="G107" s="4" t="s">
        <v>58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 t="s">
        <v>55</v>
      </c>
      <c r="B108" s="4" t="s">
        <v>56</v>
      </c>
      <c r="C108" s="4" t="s">
        <v>75</v>
      </c>
      <c r="D108" s="4" t="s">
        <v>32</v>
      </c>
      <c r="E108" s="4" t="s">
        <v>15</v>
      </c>
      <c r="F108" s="4" t="s">
        <v>73</v>
      </c>
      <c r="G108" s="4" t="s">
        <v>58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 t="s">
        <v>55</v>
      </c>
      <c r="B109" s="4" t="s">
        <v>56</v>
      </c>
      <c r="C109" s="4" t="s">
        <v>76</v>
      </c>
      <c r="D109" s="4" t="s">
        <v>32</v>
      </c>
      <c r="E109" s="4" t="s">
        <v>15</v>
      </c>
      <c r="F109" s="4"/>
      <c r="G109" s="4" t="s">
        <v>58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 t="s">
        <v>55</v>
      </c>
      <c r="B110" s="4" t="s">
        <v>56</v>
      </c>
      <c r="C110" s="4" t="s">
        <v>77</v>
      </c>
      <c r="D110" s="4" t="s">
        <v>32</v>
      </c>
      <c r="E110" s="4" t="s">
        <v>15</v>
      </c>
      <c r="F110" s="4"/>
      <c r="G110" s="4" t="s">
        <v>58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 t="s">
        <v>55</v>
      </c>
      <c r="B111" s="4" t="s">
        <v>56</v>
      </c>
      <c r="C111" s="4" t="s">
        <v>78</v>
      </c>
      <c r="D111" s="4" t="s">
        <v>32</v>
      </c>
      <c r="E111" s="4" t="s">
        <v>15</v>
      </c>
      <c r="F111" s="4"/>
      <c r="G111" s="4" t="s">
        <v>58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 t="s">
        <v>55</v>
      </c>
      <c r="B112" s="4" t="s">
        <v>56</v>
      </c>
      <c r="C112" s="4" t="s">
        <v>79</v>
      </c>
      <c r="D112" s="4" t="s">
        <v>32</v>
      </c>
      <c r="E112" s="4" t="s">
        <v>15</v>
      </c>
      <c r="F112" s="4"/>
      <c r="G112" s="4" t="s">
        <v>58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 t="s">
        <v>55</v>
      </c>
      <c r="B113" s="4" t="s">
        <v>80</v>
      </c>
      <c r="C113" s="4" t="s">
        <v>81</v>
      </c>
      <c r="D113" s="4" t="s">
        <v>32</v>
      </c>
      <c r="E113" s="4" t="s">
        <v>15</v>
      </c>
      <c r="F113" s="4" t="s">
        <v>82</v>
      </c>
      <c r="G113" s="4" t="s">
        <v>58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 t="s">
        <v>55</v>
      </c>
      <c r="B114" s="4" t="s">
        <v>80</v>
      </c>
      <c r="C114" s="4" t="s">
        <v>81</v>
      </c>
      <c r="D114" s="4" t="s">
        <v>32</v>
      </c>
      <c r="E114" s="4" t="s">
        <v>15</v>
      </c>
      <c r="F114" s="4" t="s">
        <v>83</v>
      </c>
      <c r="G114" s="4" t="s">
        <v>58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 t="s">
        <v>55</v>
      </c>
      <c r="B115" s="4" t="s">
        <v>80</v>
      </c>
      <c r="C115" s="4" t="s">
        <v>84</v>
      </c>
      <c r="D115" s="4" t="s">
        <v>32</v>
      </c>
      <c r="E115" s="4" t="s">
        <v>15</v>
      </c>
      <c r="F115" s="4" t="s">
        <v>85</v>
      </c>
      <c r="G115" s="4" t="s">
        <v>58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 t="s">
        <v>55</v>
      </c>
      <c r="B116" s="4" t="s">
        <v>80</v>
      </c>
      <c r="C116" s="4" t="s">
        <v>86</v>
      </c>
      <c r="D116" s="4" t="s">
        <v>32</v>
      </c>
      <c r="E116" s="4" t="s">
        <v>15</v>
      </c>
      <c r="F116" s="4" t="s">
        <v>87</v>
      </c>
      <c r="G116" s="4" t="s">
        <v>58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 t="s">
        <v>55</v>
      </c>
      <c r="B117" s="4" t="s">
        <v>80</v>
      </c>
      <c r="C117" s="4" t="s">
        <v>88</v>
      </c>
      <c r="D117" s="4" t="s">
        <v>32</v>
      </c>
      <c r="E117" s="4" t="s">
        <v>15</v>
      </c>
      <c r="F117" s="4"/>
      <c r="G117" s="4" t="s">
        <v>58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 t="s">
        <v>55</v>
      </c>
      <c r="B118" s="4" t="s">
        <v>80</v>
      </c>
      <c r="C118" s="4" t="s">
        <v>89</v>
      </c>
      <c r="D118" s="4" t="s">
        <v>32</v>
      </c>
      <c r="E118" s="4" t="s">
        <v>15</v>
      </c>
      <c r="F118" s="4"/>
      <c r="G118" s="4" t="s">
        <v>58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 t="s">
        <v>55</v>
      </c>
      <c r="B119" s="4" t="s">
        <v>90</v>
      </c>
      <c r="C119" s="4" t="s">
        <v>91</v>
      </c>
      <c r="D119" s="4" t="s">
        <v>32</v>
      </c>
      <c r="E119" s="4" t="s">
        <v>15</v>
      </c>
      <c r="F119" s="4" t="s">
        <v>92</v>
      </c>
      <c r="G119" s="4" t="s">
        <v>58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 t="s">
        <v>55</v>
      </c>
      <c r="B120" s="4" t="s">
        <v>90</v>
      </c>
      <c r="C120" s="4" t="s">
        <v>93</v>
      </c>
      <c r="D120" s="4" t="s">
        <v>32</v>
      </c>
      <c r="E120" s="4" t="s">
        <v>15</v>
      </c>
      <c r="F120" s="4" t="s">
        <v>92</v>
      </c>
      <c r="G120" s="4" t="s">
        <v>58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 t="s">
        <v>55</v>
      </c>
      <c r="B121" s="4" t="s">
        <v>90</v>
      </c>
      <c r="C121" s="4" t="s">
        <v>94</v>
      </c>
      <c r="D121" s="4" t="s">
        <v>32</v>
      </c>
      <c r="E121" s="4" t="s">
        <v>15</v>
      </c>
      <c r="F121" s="4" t="s">
        <v>95</v>
      </c>
      <c r="G121" s="4" t="s">
        <v>58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 t="s">
        <v>55</v>
      </c>
      <c r="B122" s="4" t="s">
        <v>90</v>
      </c>
      <c r="C122" s="4" t="s">
        <v>94</v>
      </c>
      <c r="D122" s="4" t="s">
        <v>32</v>
      </c>
      <c r="E122" s="4" t="s">
        <v>15</v>
      </c>
      <c r="F122" s="4" t="s">
        <v>92</v>
      </c>
      <c r="G122" s="4" t="s">
        <v>58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 t="s">
        <v>55</v>
      </c>
      <c r="B123" s="4" t="s">
        <v>90</v>
      </c>
      <c r="C123" s="4" t="s">
        <v>96</v>
      </c>
      <c r="D123" s="4" t="s">
        <v>32</v>
      </c>
      <c r="E123" s="4" t="s">
        <v>15</v>
      </c>
      <c r="F123" s="4" t="s">
        <v>97</v>
      </c>
      <c r="G123" s="4" t="s">
        <v>58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 t="s">
        <v>55</v>
      </c>
      <c r="B124" s="4" t="s">
        <v>90</v>
      </c>
      <c r="C124" s="4" t="s">
        <v>98</v>
      </c>
      <c r="D124" s="4" t="s">
        <v>32</v>
      </c>
      <c r="E124" s="4" t="s">
        <v>15</v>
      </c>
      <c r="F124" s="4" t="s">
        <v>92</v>
      </c>
      <c r="G124" s="4" t="s">
        <v>58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 t="s">
        <v>55</v>
      </c>
      <c r="B125" s="4" t="s">
        <v>99</v>
      </c>
      <c r="C125" s="4" t="s">
        <v>100</v>
      </c>
      <c r="D125" s="4" t="s">
        <v>32</v>
      </c>
      <c r="E125" s="4" t="s">
        <v>15</v>
      </c>
      <c r="F125" s="5"/>
      <c r="G125" s="4" t="s">
        <v>58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 t="s">
        <v>55</v>
      </c>
      <c r="B126" s="4" t="s">
        <v>99</v>
      </c>
      <c r="C126" s="4" t="s">
        <v>101</v>
      </c>
      <c r="D126" s="4" t="s">
        <v>32</v>
      </c>
      <c r="E126" s="4" t="s">
        <v>15</v>
      </c>
      <c r="F126" s="5"/>
      <c r="G126" s="4" t="s">
        <v>58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 t="s">
        <v>55</v>
      </c>
      <c r="B127" s="4" t="s">
        <v>99</v>
      </c>
      <c r="C127" s="4" t="s">
        <v>102</v>
      </c>
      <c r="D127" s="4" t="s">
        <v>32</v>
      </c>
      <c r="E127" s="4" t="s">
        <v>15</v>
      </c>
      <c r="F127" s="5"/>
      <c r="G127" s="4" t="s">
        <v>58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 t="s">
        <v>55</v>
      </c>
      <c r="B128" s="4" t="s">
        <v>99</v>
      </c>
      <c r="C128" s="4" t="s">
        <v>103</v>
      </c>
      <c r="D128" s="4" t="s">
        <v>32</v>
      </c>
      <c r="E128" s="4" t="s">
        <v>15</v>
      </c>
      <c r="F128" s="5"/>
      <c r="G128" s="4" t="s">
        <v>58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 t="s">
        <v>55</v>
      </c>
      <c r="B129" s="4" t="s">
        <v>104</v>
      </c>
      <c r="C129" s="4" t="s">
        <v>105</v>
      </c>
      <c r="D129" s="4" t="s">
        <v>32</v>
      </c>
      <c r="E129" s="4" t="s">
        <v>15</v>
      </c>
      <c r="F129" s="5"/>
      <c r="G129" s="4" t="s">
        <v>58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 t="s">
        <v>7</v>
      </c>
      <c r="B130" s="4" t="s">
        <v>99</v>
      </c>
      <c r="C130" s="4" t="s">
        <v>106</v>
      </c>
      <c r="D130" s="4" t="s">
        <v>32</v>
      </c>
      <c r="E130" s="4" t="s">
        <v>15</v>
      </c>
      <c r="F130" s="5"/>
      <c r="G130" s="4" t="s">
        <v>107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 t="s">
        <v>7</v>
      </c>
      <c r="B131" s="4" t="s">
        <v>108</v>
      </c>
      <c r="C131" s="4" t="s">
        <v>109</v>
      </c>
      <c r="D131" s="4" t="s">
        <v>32</v>
      </c>
      <c r="E131" s="4" t="s">
        <v>15</v>
      </c>
      <c r="F131" s="5"/>
      <c r="G131" s="4" t="s">
        <v>58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 t="s">
        <v>110</v>
      </c>
      <c r="B132" s="4" t="s">
        <v>8</v>
      </c>
      <c r="C132" s="4" t="s">
        <v>9</v>
      </c>
      <c r="D132" s="4" t="s">
        <v>10</v>
      </c>
      <c r="E132" s="4" t="s">
        <v>11</v>
      </c>
      <c r="F132" s="4"/>
      <c r="G132" s="5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 t="s">
        <v>110</v>
      </c>
      <c r="B133" s="4" t="s">
        <v>8</v>
      </c>
      <c r="C133" s="4" t="s">
        <v>9</v>
      </c>
      <c r="D133" s="4" t="s">
        <v>12</v>
      </c>
      <c r="E133" s="4" t="s">
        <v>15</v>
      </c>
      <c r="F133" s="4"/>
      <c r="G133" s="5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 t="s">
        <v>110</v>
      </c>
      <c r="B134" s="4" t="s">
        <v>8</v>
      </c>
      <c r="C134" s="4" t="s">
        <v>9</v>
      </c>
      <c r="D134" s="4" t="s">
        <v>14</v>
      </c>
      <c r="E134" s="4" t="s">
        <v>15</v>
      </c>
      <c r="F134" s="4"/>
      <c r="G134" s="5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 t="s">
        <v>110</v>
      </c>
      <c r="B135" s="4" t="s">
        <v>8</v>
      </c>
      <c r="C135" s="4" t="s">
        <v>9</v>
      </c>
      <c r="D135" s="4" t="s">
        <v>16</v>
      </c>
      <c r="E135" s="4" t="s">
        <v>15</v>
      </c>
      <c r="F135" s="4"/>
      <c r="G135" s="5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 t="s">
        <v>110</v>
      </c>
      <c r="B136" s="4" t="s">
        <v>8</v>
      </c>
      <c r="C136" s="4" t="s">
        <v>17</v>
      </c>
      <c r="D136" s="4" t="s">
        <v>10</v>
      </c>
      <c r="E136" s="4" t="s">
        <v>11</v>
      </c>
      <c r="F136" s="4"/>
      <c r="G136" s="4" t="s">
        <v>111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 t="s">
        <v>110</v>
      </c>
      <c r="B137" s="4" t="s">
        <v>8</v>
      </c>
      <c r="C137" s="4" t="s">
        <v>17</v>
      </c>
      <c r="D137" s="4" t="s">
        <v>12</v>
      </c>
      <c r="E137" s="4" t="s">
        <v>112</v>
      </c>
      <c r="F137" s="4"/>
      <c r="G137" s="4" t="s">
        <v>113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 t="s">
        <v>110</v>
      </c>
      <c r="B138" s="4" t="s">
        <v>8</v>
      </c>
      <c r="C138" s="4" t="s">
        <v>17</v>
      </c>
      <c r="D138" s="4" t="s">
        <v>13</v>
      </c>
      <c r="E138" s="4" t="s">
        <v>15</v>
      </c>
      <c r="F138" s="4"/>
      <c r="G138" s="5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 t="s">
        <v>110</v>
      </c>
      <c r="B139" s="4" t="s">
        <v>8</v>
      </c>
      <c r="C139" s="4" t="s">
        <v>17</v>
      </c>
      <c r="D139" s="4" t="s">
        <v>16</v>
      </c>
      <c r="E139" s="4" t="s">
        <v>15</v>
      </c>
      <c r="F139" s="4"/>
      <c r="G139" s="5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 t="s">
        <v>110</v>
      </c>
      <c r="B140" s="4" t="s">
        <v>8</v>
      </c>
      <c r="C140" s="4" t="s">
        <v>18</v>
      </c>
      <c r="D140" s="4" t="s">
        <v>10</v>
      </c>
      <c r="E140" s="4" t="s">
        <v>11</v>
      </c>
      <c r="F140" s="4"/>
      <c r="G140" s="5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 t="s">
        <v>110</v>
      </c>
      <c r="B141" s="4" t="s">
        <v>8</v>
      </c>
      <c r="C141" s="4" t="s">
        <v>18</v>
      </c>
      <c r="D141" s="4" t="s">
        <v>12</v>
      </c>
      <c r="E141" s="4" t="s">
        <v>15</v>
      </c>
      <c r="F141" s="4"/>
      <c r="G141" s="5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 t="s">
        <v>110</v>
      </c>
      <c r="B142" s="4" t="s">
        <v>8</v>
      </c>
      <c r="C142" s="4" t="s">
        <v>18</v>
      </c>
      <c r="D142" s="4" t="s">
        <v>14</v>
      </c>
      <c r="E142" s="4" t="s">
        <v>15</v>
      </c>
      <c r="F142" s="4"/>
      <c r="G142" s="5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 t="s">
        <v>110</v>
      </c>
      <c r="B143" s="4" t="s">
        <v>8</v>
      </c>
      <c r="C143" s="4" t="s">
        <v>18</v>
      </c>
      <c r="D143" s="4" t="s">
        <v>16</v>
      </c>
      <c r="E143" s="4" t="s">
        <v>15</v>
      </c>
      <c r="F143" s="4"/>
      <c r="G143" s="5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 t="s">
        <v>110</v>
      </c>
      <c r="B144" s="4" t="s">
        <v>19</v>
      </c>
      <c r="C144" s="4" t="s">
        <v>20</v>
      </c>
      <c r="D144" s="4" t="s">
        <v>10</v>
      </c>
      <c r="E144" s="4" t="s">
        <v>11</v>
      </c>
      <c r="F144" s="4"/>
      <c r="G144" s="5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 t="s">
        <v>110</v>
      </c>
      <c r="B145" s="4" t="s">
        <v>19</v>
      </c>
      <c r="C145" s="4" t="s">
        <v>20</v>
      </c>
      <c r="D145" s="4" t="s">
        <v>12</v>
      </c>
      <c r="E145" s="4" t="s">
        <v>15</v>
      </c>
      <c r="F145" s="4"/>
      <c r="G145" s="5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 t="s">
        <v>110</v>
      </c>
      <c r="B146" s="4" t="s">
        <v>19</v>
      </c>
      <c r="C146" s="4" t="s">
        <v>20</v>
      </c>
      <c r="D146" s="4" t="s">
        <v>21</v>
      </c>
      <c r="E146" s="4" t="s">
        <v>15</v>
      </c>
      <c r="F146" s="4"/>
      <c r="G146" s="5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 t="s">
        <v>110</v>
      </c>
      <c r="B147" s="4" t="s">
        <v>19</v>
      </c>
      <c r="C147" s="4" t="s">
        <v>22</v>
      </c>
      <c r="D147" s="4" t="s">
        <v>10</v>
      </c>
      <c r="E147" s="4" t="s">
        <v>11</v>
      </c>
      <c r="F147" s="4"/>
      <c r="G147" s="4" t="s">
        <v>111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 t="s">
        <v>110</v>
      </c>
      <c r="B148" s="4" t="s">
        <v>19</v>
      </c>
      <c r="C148" s="4" t="s">
        <v>22</v>
      </c>
      <c r="D148" s="4" t="s">
        <v>12</v>
      </c>
      <c r="E148" s="4" t="s">
        <v>11</v>
      </c>
      <c r="F148" s="4"/>
      <c r="G148" s="4" t="s">
        <v>113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 t="s">
        <v>110</v>
      </c>
      <c r="B149" s="4" t="s">
        <v>19</v>
      </c>
      <c r="C149" s="4" t="s">
        <v>52</v>
      </c>
      <c r="D149" s="4" t="s">
        <v>21</v>
      </c>
      <c r="E149" s="4" t="s">
        <v>15</v>
      </c>
      <c r="F149" s="4"/>
      <c r="G149" s="5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 t="s">
        <v>110</v>
      </c>
      <c r="B150" s="4" t="s">
        <v>19</v>
      </c>
      <c r="C150" s="4" t="s">
        <v>25</v>
      </c>
      <c r="D150" s="4" t="s">
        <v>10</v>
      </c>
      <c r="E150" s="4" t="s">
        <v>11</v>
      </c>
      <c r="F150" s="4"/>
      <c r="G150" s="5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 t="s">
        <v>110</v>
      </c>
      <c r="B151" s="4" t="s">
        <v>19</v>
      </c>
      <c r="C151" s="4" t="s">
        <v>25</v>
      </c>
      <c r="D151" s="4" t="s">
        <v>12</v>
      </c>
      <c r="E151" s="4" t="s">
        <v>13</v>
      </c>
      <c r="F151" s="4"/>
      <c r="G151" s="5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 t="s">
        <v>110</v>
      </c>
      <c r="B152" s="4" t="s">
        <v>19</v>
      </c>
      <c r="C152" s="4" t="s">
        <v>25</v>
      </c>
      <c r="D152" s="4" t="s">
        <v>21</v>
      </c>
      <c r="E152" s="4" t="s">
        <v>15</v>
      </c>
      <c r="F152" s="4"/>
      <c r="G152" s="5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 t="s">
        <v>110</v>
      </c>
      <c r="B153" s="4" t="s">
        <v>56</v>
      </c>
      <c r="C153" s="4" t="s">
        <v>56</v>
      </c>
      <c r="D153" s="4" t="s">
        <v>16</v>
      </c>
      <c r="E153" s="4" t="s">
        <v>15</v>
      </c>
      <c r="F153" s="5"/>
      <c r="G153" s="5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 t="s">
        <v>114</v>
      </c>
      <c r="B154" s="4" t="s">
        <v>56</v>
      </c>
      <c r="C154" s="5"/>
      <c r="D154" s="5"/>
      <c r="E154" s="5"/>
      <c r="F154" s="5"/>
      <c r="G154" s="5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 t="s">
        <v>114</v>
      </c>
      <c r="B155" s="4" t="s">
        <v>90</v>
      </c>
      <c r="C155" s="5"/>
      <c r="D155" s="5"/>
      <c r="E155" s="5"/>
      <c r="F155" s="5"/>
      <c r="G155" s="5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 t="s">
        <v>114</v>
      </c>
      <c r="B156" s="4" t="s">
        <v>80</v>
      </c>
      <c r="C156" s="4" t="s">
        <v>115</v>
      </c>
      <c r="D156" s="4" t="s">
        <v>10</v>
      </c>
      <c r="E156" s="4" t="s">
        <v>11</v>
      </c>
      <c r="F156" s="5"/>
      <c r="G156" s="4" t="s">
        <v>114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 t="s">
        <v>114</v>
      </c>
      <c r="B157" s="4" t="s">
        <v>99</v>
      </c>
      <c r="C157" s="4" t="s">
        <v>116</v>
      </c>
      <c r="D157" s="4" t="s">
        <v>10</v>
      </c>
      <c r="E157" s="4" t="s">
        <v>11</v>
      </c>
      <c r="F157" s="5"/>
      <c r="G157" s="4" t="s">
        <v>114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 t="s">
        <v>114</v>
      </c>
      <c r="B158" s="4" t="s">
        <v>108</v>
      </c>
      <c r="C158" s="4" t="s">
        <v>117</v>
      </c>
      <c r="D158" s="4" t="s">
        <v>10</v>
      </c>
      <c r="E158" s="4" t="s">
        <v>11</v>
      </c>
      <c r="F158" s="5"/>
      <c r="G158" s="4" t="s">
        <v>114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 t="s">
        <v>114</v>
      </c>
      <c r="B159" s="4" t="s">
        <v>104</v>
      </c>
      <c r="C159" s="4" t="s">
        <v>115</v>
      </c>
      <c r="D159" s="4" t="s">
        <v>10</v>
      </c>
      <c r="E159" s="4" t="s">
        <v>11</v>
      </c>
      <c r="F159" s="5"/>
      <c r="G159" s="4" t="s">
        <v>114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 t="s">
        <v>118</v>
      </c>
      <c r="B160" s="4" t="s">
        <v>56</v>
      </c>
      <c r="C160" s="4" t="s">
        <v>119</v>
      </c>
      <c r="D160" s="4" t="s">
        <v>32</v>
      </c>
      <c r="E160" s="4" t="s">
        <v>15</v>
      </c>
      <c r="F160" s="5"/>
      <c r="G160" s="4" t="s">
        <v>118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 t="s">
        <v>118</v>
      </c>
      <c r="B161" s="4" t="s">
        <v>90</v>
      </c>
      <c r="C161" s="4" t="s">
        <v>117</v>
      </c>
      <c r="D161" s="4" t="s">
        <v>32</v>
      </c>
      <c r="E161" s="4" t="s">
        <v>15</v>
      </c>
      <c r="F161" s="5"/>
      <c r="G161" s="4" t="s">
        <v>118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 t="s">
        <v>118</v>
      </c>
      <c r="B162" s="4" t="s">
        <v>80</v>
      </c>
      <c r="C162" s="4" t="s">
        <v>115</v>
      </c>
      <c r="D162" s="4" t="s">
        <v>32</v>
      </c>
      <c r="E162" s="4" t="s">
        <v>15</v>
      </c>
      <c r="F162" s="5"/>
      <c r="G162" s="4" t="s">
        <v>118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 t="s">
        <v>118</v>
      </c>
      <c r="B163" s="4" t="s">
        <v>99</v>
      </c>
      <c r="C163" s="5"/>
      <c r="D163" s="5"/>
      <c r="E163" s="5"/>
      <c r="F163" s="5"/>
      <c r="G163" s="5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 t="s">
        <v>118</v>
      </c>
      <c r="B164" s="4" t="s">
        <v>108</v>
      </c>
      <c r="C164" s="5"/>
      <c r="D164" s="5"/>
      <c r="E164" s="5"/>
      <c r="F164" s="5"/>
      <c r="G164" s="5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2"/>
      <c r="C165" s="2"/>
      <c r="D165" s="2"/>
      <c r="E165" s="5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2"/>
      <c r="C166" s="2"/>
      <c r="D166" s="2"/>
      <c r="E166" s="5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2"/>
      <c r="C167" s="2"/>
      <c r="D167" s="2"/>
      <c r="E167" s="5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2"/>
      <c r="C168" s="2"/>
      <c r="D168" s="2"/>
      <c r="E168" s="5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2"/>
      <c r="C169" s="2"/>
      <c r="D169" s="2"/>
      <c r="E169" s="5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2"/>
      <c r="C170" s="2"/>
      <c r="D170" s="2"/>
      <c r="E170" s="5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2"/>
      <c r="C171" s="2"/>
      <c r="D171" s="2"/>
      <c r="E171" s="5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2"/>
      <c r="C172" s="2"/>
      <c r="D172" s="2"/>
      <c r="E172" s="5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2"/>
      <c r="C173" s="2"/>
      <c r="D173" s="2"/>
      <c r="E173" s="5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2"/>
      <c r="C174" s="2"/>
      <c r="D174" s="2"/>
      <c r="E174" s="5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2"/>
      <c r="C175" s="2"/>
      <c r="D175" s="2"/>
      <c r="E175" s="5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2"/>
      <c r="C176" s="2"/>
      <c r="D176" s="2"/>
      <c r="E176" s="5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2"/>
      <c r="C177" s="2"/>
      <c r="D177" s="2"/>
      <c r="E177" s="5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2"/>
      <c r="C178" s="2"/>
      <c r="D178" s="2"/>
      <c r="E178" s="5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2"/>
      <c r="C179" s="2"/>
      <c r="D179" s="2"/>
      <c r="E179" s="5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2"/>
      <c r="C180" s="2"/>
      <c r="D180" s="2"/>
      <c r="E180" s="5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2"/>
      <c r="C181" s="2"/>
      <c r="D181" s="2"/>
      <c r="E181" s="5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2"/>
      <c r="C182" s="2"/>
      <c r="D182" s="2"/>
      <c r="E182" s="5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2"/>
      <c r="C183" s="2"/>
      <c r="D183" s="2"/>
      <c r="E183" s="5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2"/>
      <c r="C184" s="2"/>
      <c r="D184" s="2"/>
      <c r="E184" s="5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2"/>
      <c r="C185" s="2"/>
      <c r="D185" s="2"/>
      <c r="E185" s="5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2"/>
      <c r="C186" s="2"/>
      <c r="D186" s="2"/>
      <c r="E186" s="5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2"/>
      <c r="C187" s="2"/>
      <c r="D187" s="2"/>
      <c r="E187" s="5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2"/>
      <c r="C188" s="2"/>
      <c r="D188" s="2"/>
      <c r="E188" s="5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2"/>
      <c r="C189" s="2"/>
      <c r="D189" s="2"/>
      <c r="E189" s="5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2"/>
      <c r="C190" s="2"/>
      <c r="D190" s="2"/>
      <c r="E190" s="5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2"/>
      <c r="C191" s="2"/>
      <c r="D191" s="2"/>
      <c r="E191" s="5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2"/>
      <c r="C192" s="2"/>
      <c r="D192" s="2"/>
      <c r="E192" s="5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2"/>
      <c r="C193" s="2"/>
      <c r="D193" s="2"/>
      <c r="E193" s="5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2"/>
      <c r="C194" s="2"/>
      <c r="D194" s="2"/>
      <c r="E194" s="5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2"/>
      <c r="C195" s="2"/>
      <c r="D195" s="2"/>
      <c r="E195" s="5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2"/>
      <c r="C196" s="2"/>
      <c r="D196" s="2"/>
      <c r="E196" s="5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2"/>
      <c r="C197" s="2"/>
      <c r="D197" s="2"/>
      <c r="E197" s="5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2"/>
      <c r="C198" s="2"/>
      <c r="D198" s="2"/>
      <c r="E198" s="5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2"/>
      <c r="C199" s="2"/>
      <c r="D199" s="2"/>
      <c r="E199" s="5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2"/>
      <c r="C200" s="2"/>
      <c r="D200" s="2"/>
      <c r="E200" s="5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2"/>
      <c r="C201" s="2"/>
      <c r="D201" s="2"/>
      <c r="E201" s="5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2"/>
      <c r="C202" s="2"/>
      <c r="D202" s="2"/>
      <c r="E202" s="5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2"/>
      <c r="C203" s="2"/>
      <c r="D203" s="2"/>
      <c r="E203" s="5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2"/>
      <c r="C204" s="2"/>
      <c r="D204" s="2"/>
      <c r="E204" s="5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2"/>
      <c r="C205" s="2"/>
      <c r="D205" s="2"/>
      <c r="E205" s="5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2"/>
      <c r="C206" s="2"/>
      <c r="D206" s="2"/>
      <c r="E206" s="5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2"/>
      <c r="C207" s="2"/>
      <c r="D207" s="2"/>
      <c r="E207" s="5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2"/>
      <c r="C208" s="2"/>
      <c r="D208" s="2"/>
      <c r="E208" s="5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2"/>
      <c r="C209" s="2"/>
      <c r="D209" s="2"/>
      <c r="E209" s="5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2"/>
      <c r="C210" s="2"/>
      <c r="D210" s="2"/>
      <c r="E210" s="5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2"/>
      <c r="C211" s="2"/>
      <c r="D211" s="2"/>
      <c r="E211" s="5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2"/>
      <c r="C212" s="2"/>
      <c r="D212" s="2"/>
      <c r="E212" s="5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2"/>
      <c r="C213" s="2"/>
      <c r="D213" s="2"/>
      <c r="E213" s="5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2"/>
      <c r="C214" s="2"/>
      <c r="D214" s="2"/>
      <c r="E214" s="5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2"/>
      <c r="C215" s="2"/>
      <c r="D215" s="2"/>
      <c r="E215" s="5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2"/>
      <c r="C216" s="2"/>
      <c r="D216" s="2"/>
      <c r="E216" s="5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2"/>
      <c r="C217" s="2"/>
      <c r="D217" s="2"/>
      <c r="E217" s="5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2"/>
      <c r="C218" s="2"/>
      <c r="D218" s="2"/>
      <c r="E218" s="5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2"/>
      <c r="C219" s="2"/>
      <c r="D219" s="2"/>
      <c r="E219" s="5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2"/>
      <c r="C220" s="2"/>
      <c r="D220" s="2"/>
      <c r="E220" s="5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2"/>
      <c r="C221" s="2"/>
      <c r="D221" s="2"/>
      <c r="E221" s="5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2"/>
      <c r="C222" s="2"/>
      <c r="D222" s="2"/>
      <c r="E222" s="5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2"/>
      <c r="C223" s="2"/>
      <c r="D223" s="2"/>
      <c r="E223" s="5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2"/>
      <c r="C224" s="2"/>
      <c r="D224" s="2"/>
      <c r="E224" s="5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2"/>
      <c r="C225" s="2"/>
      <c r="D225" s="2"/>
      <c r="E225" s="5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2"/>
      <c r="C226" s="2"/>
      <c r="D226" s="2"/>
      <c r="E226" s="5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2"/>
      <c r="C227" s="2"/>
      <c r="D227" s="2"/>
      <c r="E227" s="5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2"/>
      <c r="C228" s="2"/>
      <c r="D228" s="2"/>
      <c r="E228" s="5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2"/>
      <c r="C229" s="2"/>
      <c r="D229" s="2"/>
      <c r="E229" s="5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2"/>
      <c r="C230" s="2"/>
      <c r="D230" s="2"/>
      <c r="E230" s="5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2"/>
      <c r="C231" s="2"/>
      <c r="D231" s="2"/>
      <c r="E231" s="5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2"/>
      <c r="C232" s="2"/>
      <c r="D232" s="2"/>
      <c r="E232" s="5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2"/>
      <c r="C233" s="2"/>
      <c r="D233" s="2"/>
      <c r="E233" s="5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2"/>
      <c r="C234" s="2"/>
      <c r="D234" s="2"/>
      <c r="E234" s="5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2"/>
      <c r="C235" s="2"/>
      <c r="D235" s="2"/>
      <c r="E235" s="5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2"/>
      <c r="C236" s="2"/>
      <c r="D236" s="2"/>
      <c r="E236" s="5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2"/>
      <c r="C237" s="2"/>
      <c r="D237" s="2"/>
      <c r="E237" s="5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2"/>
      <c r="C238" s="2"/>
      <c r="D238" s="2"/>
      <c r="E238" s="5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2"/>
      <c r="C239" s="2"/>
      <c r="D239" s="2"/>
      <c r="E239" s="5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2"/>
      <c r="C240" s="2"/>
      <c r="D240" s="2"/>
      <c r="E240" s="5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2"/>
      <c r="C241" s="2"/>
      <c r="D241" s="2"/>
      <c r="E241" s="5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2"/>
      <c r="C242" s="2"/>
      <c r="D242" s="2"/>
      <c r="E242" s="5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2"/>
      <c r="C243" s="2"/>
      <c r="D243" s="2"/>
      <c r="E243" s="5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2"/>
      <c r="C244" s="2"/>
      <c r="D244" s="2"/>
      <c r="E244" s="5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2"/>
      <c r="C245" s="2"/>
      <c r="D245" s="2"/>
      <c r="E245" s="5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2"/>
      <c r="C246" s="2"/>
      <c r="D246" s="2"/>
      <c r="E246" s="5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2"/>
      <c r="C247" s="2"/>
      <c r="D247" s="2"/>
      <c r="E247" s="5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2"/>
      <c r="C248" s="2"/>
      <c r="D248" s="2"/>
      <c r="E248" s="5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2"/>
      <c r="C249" s="2"/>
      <c r="D249" s="2"/>
      <c r="E249" s="5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2"/>
      <c r="C250" s="2"/>
      <c r="D250" s="2"/>
      <c r="E250" s="5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2"/>
      <c r="C251" s="2"/>
      <c r="D251" s="2"/>
      <c r="E251" s="5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2"/>
      <c r="C252" s="2"/>
      <c r="D252" s="2"/>
      <c r="E252" s="5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2"/>
      <c r="C253" s="2"/>
      <c r="D253" s="2"/>
      <c r="E253" s="5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2"/>
      <c r="C254" s="2"/>
      <c r="D254" s="2"/>
      <c r="E254" s="5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2"/>
      <c r="C255" s="2"/>
      <c r="D255" s="2"/>
      <c r="E255" s="5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2"/>
      <c r="C256" s="2"/>
      <c r="D256" s="2"/>
      <c r="E256" s="5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2"/>
      <c r="C257" s="2"/>
      <c r="D257" s="2"/>
      <c r="E257" s="5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2"/>
      <c r="C258" s="2"/>
      <c r="D258" s="2"/>
      <c r="E258" s="5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2"/>
      <c r="C259" s="2"/>
      <c r="D259" s="2"/>
      <c r="E259" s="5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2"/>
      <c r="C260" s="2"/>
      <c r="D260" s="2"/>
      <c r="E260" s="5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2"/>
      <c r="C261" s="2"/>
      <c r="D261" s="2"/>
      <c r="E261" s="5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2"/>
      <c r="C262" s="2"/>
      <c r="D262" s="2"/>
      <c r="E262" s="5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2"/>
      <c r="C263" s="2"/>
      <c r="D263" s="2"/>
      <c r="E263" s="5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2"/>
      <c r="C264" s="2"/>
      <c r="D264" s="2"/>
      <c r="E264" s="5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2"/>
      <c r="C265" s="2"/>
      <c r="D265" s="2"/>
      <c r="E265" s="5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2"/>
      <c r="C266" s="2"/>
      <c r="D266" s="2"/>
      <c r="E266" s="5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2"/>
      <c r="C267" s="2"/>
      <c r="D267" s="2"/>
      <c r="E267" s="5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2"/>
      <c r="C268" s="2"/>
      <c r="D268" s="2"/>
      <c r="E268" s="5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2"/>
      <c r="C269" s="2"/>
      <c r="D269" s="2"/>
      <c r="E269" s="5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2"/>
      <c r="C270" s="2"/>
      <c r="D270" s="2"/>
      <c r="E270" s="5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2"/>
      <c r="C271" s="2"/>
      <c r="D271" s="2"/>
      <c r="E271" s="5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2"/>
      <c r="C272" s="2"/>
      <c r="D272" s="2"/>
      <c r="E272" s="5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2"/>
      <c r="C273" s="2"/>
      <c r="D273" s="2"/>
      <c r="E273" s="5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2"/>
      <c r="C274" s="2"/>
      <c r="D274" s="2"/>
      <c r="E274" s="5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2"/>
      <c r="C275" s="2"/>
      <c r="D275" s="2"/>
      <c r="E275" s="5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2"/>
      <c r="C276" s="2"/>
      <c r="D276" s="2"/>
      <c r="E276" s="5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2"/>
      <c r="C277" s="2"/>
      <c r="D277" s="2"/>
      <c r="E277" s="5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2"/>
      <c r="C278" s="2"/>
      <c r="D278" s="2"/>
      <c r="E278" s="5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2"/>
      <c r="C279" s="2"/>
      <c r="D279" s="2"/>
      <c r="E279" s="5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2"/>
      <c r="C280" s="2"/>
      <c r="D280" s="2"/>
      <c r="E280" s="5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2"/>
      <c r="C281" s="2"/>
      <c r="D281" s="2"/>
      <c r="E281" s="5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2"/>
      <c r="C282" s="2"/>
      <c r="D282" s="2"/>
      <c r="E282" s="5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2"/>
      <c r="C283" s="2"/>
      <c r="D283" s="2"/>
      <c r="E283" s="5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2"/>
      <c r="C284" s="2"/>
      <c r="D284" s="2"/>
      <c r="E284" s="5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2"/>
      <c r="C285" s="2"/>
      <c r="D285" s="2"/>
      <c r="E285" s="5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2"/>
      <c r="C286" s="2"/>
      <c r="D286" s="2"/>
      <c r="E286" s="5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2"/>
      <c r="C287" s="2"/>
      <c r="D287" s="2"/>
      <c r="E287" s="5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2"/>
      <c r="C288" s="2"/>
      <c r="D288" s="2"/>
      <c r="E288" s="5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2"/>
      <c r="C289" s="2"/>
      <c r="D289" s="2"/>
      <c r="E289" s="5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2"/>
      <c r="C290" s="2"/>
      <c r="D290" s="2"/>
      <c r="E290" s="5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2"/>
      <c r="C291" s="2"/>
      <c r="D291" s="2"/>
      <c r="E291" s="5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2"/>
      <c r="C292" s="2"/>
      <c r="D292" s="2"/>
      <c r="E292" s="5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2"/>
      <c r="C293" s="2"/>
      <c r="D293" s="2"/>
      <c r="E293" s="5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2"/>
      <c r="C294" s="2"/>
      <c r="D294" s="2"/>
      <c r="E294" s="5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2"/>
      <c r="C295" s="2"/>
      <c r="D295" s="2"/>
      <c r="E295" s="5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2"/>
      <c r="C296" s="2"/>
      <c r="D296" s="2"/>
      <c r="E296" s="5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2"/>
      <c r="C297" s="2"/>
      <c r="D297" s="2"/>
      <c r="E297" s="5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2"/>
      <c r="C298" s="2"/>
      <c r="D298" s="2"/>
      <c r="E298" s="5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2"/>
      <c r="C299" s="2"/>
      <c r="D299" s="2"/>
      <c r="E299" s="5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2"/>
      <c r="C300" s="2"/>
      <c r="D300" s="2"/>
      <c r="E300" s="5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2"/>
      <c r="C301" s="2"/>
      <c r="D301" s="2"/>
      <c r="E301" s="5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2"/>
      <c r="C302" s="2"/>
      <c r="D302" s="2"/>
      <c r="E302" s="5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2"/>
      <c r="C303" s="2"/>
      <c r="D303" s="2"/>
      <c r="E303" s="5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2"/>
      <c r="C304" s="2"/>
      <c r="D304" s="2"/>
      <c r="E304" s="5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2"/>
      <c r="C305" s="2"/>
      <c r="D305" s="2"/>
      <c r="E305" s="5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2"/>
      <c r="C306" s="2"/>
      <c r="D306" s="2"/>
      <c r="E306" s="5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2"/>
      <c r="C307" s="2"/>
      <c r="D307" s="2"/>
      <c r="E307" s="5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2"/>
      <c r="C308" s="2"/>
      <c r="D308" s="2"/>
      <c r="E308" s="5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2"/>
      <c r="C309" s="2"/>
      <c r="D309" s="2"/>
      <c r="E309" s="5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2"/>
      <c r="C310" s="2"/>
      <c r="D310" s="2"/>
      <c r="E310" s="5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2"/>
      <c r="C311" s="2"/>
      <c r="D311" s="2"/>
      <c r="E311" s="5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2"/>
      <c r="C312" s="2"/>
      <c r="D312" s="2"/>
      <c r="E312" s="5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2"/>
      <c r="C313" s="2"/>
      <c r="D313" s="2"/>
      <c r="E313" s="5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2"/>
      <c r="C314" s="2"/>
      <c r="D314" s="2"/>
      <c r="E314" s="5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2"/>
      <c r="C315" s="2"/>
      <c r="D315" s="2"/>
      <c r="E315" s="5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2"/>
      <c r="C316" s="2"/>
      <c r="D316" s="2"/>
      <c r="E316" s="5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2"/>
      <c r="C317" s="2"/>
      <c r="D317" s="2"/>
      <c r="E317" s="5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2"/>
      <c r="C318" s="2"/>
      <c r="D318" s="2"/>
      <c r="E318" s="5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2"/>
      <c r="C319" s="2"/>
      <c r="D319" s="2"/>
      <c r="E319" s="5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2"/>
      <c r="C320" s="2"/>
      <c r="D320" s="2"/>
      <c r="E320" s="5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2"/>
      <c r="C321" s="2"/>
      <c r="D321" s="2"/>
      <c r="E321" s="5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2"/>
      <c r="C322" s="2"/>
      <c r="D322" s="2"/>
      <c r="E322" s="5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2"/>
      <c r="C323" s="2"/>
      <c r="D323" s="2"/>
      <c r="E323" s="5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2"/>
      <c r="C324" s="2"/>
      <c r="D324" s="2"/>
      <c r="E324" s="5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2"/>
      <c r="C325" s="2"/>
      <c r="D325" s="2"/>
      <c r="E325" s="5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2"/>
      <c r="C326" s="2"/>
      <c r="D326" s="2"/>
      <c r="E326" s="5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2"/>
      <c r="C327" s="2"/>
      <c r="D327" s="2"/>
      <c r="E327" s="5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2"/>
      <c r="C328" s="2"/>
      <c r="D328" s="2"/>
      <c r="E328" s="5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2"/>
      <c r="C329" s="2"/>
      <c r="D329" s="2"/>
      <c r="E329" s="5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2"/>
      <c r="C330" s="2"/>
      <c r="D330" s="2"/>
      <c r="E330" s="5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2"/>
      <c r="C331" s="2"/>
      <c r="D331" s="2"/>
      <c r="E331" s="5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2"/>
      <c r="C332" s="2"/>
      <c r="D332" s="2"/>
      <c r="E332" s="5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2"/>
      <c r="C333" s="2"/>
      <c r="D333" s="2"/>
      <c r="E333" s="5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2"/>
      <c r="C334" s="2"/>
      <c r="D334" s="2"/>
      <c r="E334" s="5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2"/>
      <c r="C335" s="2"/>
      <c r="D335" s="2"/>
      <c r="E335" s="5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2"/>
      <c r="C336" s="2"/>
      <c r="D336" s="2"/>
      <c r="E336" s="5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2"/>
      <c r="C337" s="2"/>
      <c r="D337" s="2"/>
      <c r="E337" s="5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2"/>
      <c r="C338" s="2"/>
      <c r="D338" s="2"/>
      <c r="E338" s="5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2"/>
      <c r="C339" s="2"/>
      <c r="D339" s="2"/>
      <c r="E339" s="5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2"/>
      <c r="C340" s="2"/>
      <c r="D340" s="2"/>
      <c r="E340" s="5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2"/>
      <c r="C341" s="2"/>
      <c r="D341" s="2"/>
      <c r="E341" s="5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2"/>
      <c r="C342" s="2"/>
      <c r="D342" s="2"/>
      <c r="E342" s="5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2"/>
      <c r="C343" s="2"/>
      <c r="D343" s="2"/>
      <c r="E343" s="5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2"/>
      <c r="C344" s="2"/>
      <c r="D344" s="2"/>
      <c r="E344" s="5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2"/>
      <c r="C345" s="2"/>
      <c r="D345" s="2"/>
      <c r="E345" s="5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2"/>
      <c r="C346" s="2"/>
      <c r="D346" s="2"/>
      <c r="E346" s="5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2"/>
      <c r="C347" s="2"/>
      <c r="D347" s="2"/>
      <c r="E347" s="5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2"/>
      <c r="C348" s="2"/>
      <c r="D348" s="2"/>
      <c r="E348" s="5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2"/>
      <c r="C349" s="2"/>
      <c r="D349" s="2"/>
      <c r="E349" s="5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2"/>
      <c r="C350" s="2"/>
      <c r="D350" s="2"/>
      <c r="E350" s="5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2"/>
      <c r="C351" s="2"/>
      <c r="D351" s="2"/>
      <c r="E351" s="5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2"/>
      <c r="C352" s="2"/>
      <c r="D352" s="2"/>
      <c r="E352" s="5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2"/>
      <c r="C353" s="2"/>
      <c r="D353" s="2"/>
      <c r="E353" s="5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2"/>
      <c r="C354" s="2"/>
      <c r="D354" s="2"/>
      <c r="E354" s="5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2"/>
      <c r="C355" s="2"/>
      <c r="D355" s="2"/>
      <c r="E355" s="5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2"/>
      <c r="C356" s="2"/>
      <c r="D356" s="2"/>
      <c r="E356" s="5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2"/>
      <c r="C357" s="2"/>
      <c r="D357" s="2"/>
      <c r="E357" s="5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2"/>
      <c r="C358" s="2"/>
      <c r="D358" s="2"/>
      <c r="E358" s="5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2"/>
      <c r="C359" s="2"/>
      <c r="D359" s="2"/>
      <c r="E359" s="5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2"/>
      <c r="C360" s="2"/>
      <c r="D360" s="2"/>
      <c r="E360" s="5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2"/>
      <c r="C361" s="2"/>
      <c r="D361" s="2"/>
      <c r="E361" s="5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2"/>
      <c r="C362" s="2"/>
      <c r="D362" s="2"/>
      <c r="E362" s="5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2"/>
      <c r="C363" s="2"/>
      <c r="D363" s="2"/>
      <c r="E363" s="5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2"/>
      <c r="C364" s="2"/>
      <c r="D364" s="2"/>
      <c r="E364" s="5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2"/>
      <c r="C365" s="2"/>
      <c r="D365" s="2"/>
      <c r="E365" s="5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2"/>
      <c r="C366" s="2"/>
      <c r="D366" s="2"/>
      <c r="E366" s="5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2"/>
      <c r="C367" s="2"/>
      <c r="D367" s="2"/>
      <c r="E367" s="5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2"/>
      <c r="C368" s="2"/>
      <c r="D368" s="2"/>
      <c r="E368" s="5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2"/>
      <c r="C369" s="2"/>
      <c r="D369" s="2"/>
      <c r="E369" s="5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2"/>
      <c r="C370" s="2"/>
      <c r="D370" s="2"/>
      <c r="E370" s="5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2"/>
      <c r="C371" s="2"/>
      <c r="D371" s="2"/>
      <c r="E371" s="5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2"/>
      <c r="C372" s="2"/>
      <c r="D372" s="2"/>
      <c r="E372" s="5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2"/>
      <c r="C373" s="2"/>
      <c r="D373" s="2"/>
      <c r="E373" s="5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2"/>
      <c r="C374" s="2"/>
      <c r="D374" s="2"/>
      <c r="E374" s="5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2"/>
      <c r="C375" s="2"/>
      <c r="D375" s="2"/>
      <c r="E375" s="5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2"/>
      <c r="C376" s="2"/>
      <c r="D376" s="2"/>
      <c r="E376" s="5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2"/>
      <c r="C377" s="2"/>
      <c r="D377" s="2"/>
      <c r="E377" s="5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2"/>
      <c r="C378" s="2"/>
      <c r="D378" s="2"/>
      <c r="E378" s="5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2"/>
      <c r="C379" s="2"/>
      <c r="D379" s="2"/>
      <c r="E379" s="5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2"/>
      <c r="C380" s="2"/>
      <c r="D380" s="2"/>
      <c r="E380" s="5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2"/>
      <c r="C381" s="2"/>
      <c r="D381" s="2"/>
      <c r="E381" s="5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2"/>
      <c r="C382" s="2"/>
      <c r="D382" s="2"/>
      <c r="E382" s="5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2"/>
      <c r="C383" s="2"/>
      <c r="D383" s="2"/>
      <c r="E383" s="5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2"/>
      <c r="C384" s="2"/>
      <c r="D384" s="2"/>
      <c r="E384" s="5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2"/>
      <c r="C385" s="2"/>
      <c r="D385" s="2"/>
      <c r="E385" s="5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2"/>
      <c r="C386" s="2"/>
      <c r="D386" s="2"/>
      <c r="E386" s="5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2"/>
      <c r="C387" s="2"/>
      <c r="D387" s="2"/>
      <c r="E387" s="5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2"/>
      <c r="C388" s="2"/>
      <c r="D388" s="2"/>
      <c r="E388" s="5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2"/>
      <c r="C389" s="2"/>
      <c r="D389" s="2"/>
      <c r="E389" s="5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2"/>
      <c r="C390" s="2"/>
      <c r="D390" s="2"/>
      <c r="E390" s="5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2"/>
      <c r="C391" s="2"/>
      <c r="D391" s="2"/>
      <c r="E391" s="5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2"/>
      <c r="C392" s="2"/>
      <c r="D392" s="2"/>
      <c r="E392" s="5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2"/>
      <c r="C393" s="2"/>
      <c r="D393" s="2"/>
      <c r="E393" s="5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2"/>
      <c r="C394" s="2"/>
      <c r="D394" s="2"/>
      <c r="E394" s="5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2"/>
      <c r="C395" s="2"/>
      <c r="D395" s="2"/>
      <c r="E395" s="5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2"/>
      <c r="C396" s="2"/>
      <c r="D396" s="2"/>
      <c r="E396" s="5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2"/>
      <c r="C397" s="2"/>
      <c r="D397" s="2"/>
      <c r="E397" s="5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2"/>
      <c r="C398" s="2"/>
      <c r="D398" s="2"/>
      <c r="E398" s="5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2"/>
      <c r="C399" s="2"/>
      <c r="D399" s="2"/>
      <c r="E399" s="5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2"/>
      <c r="C400" s="2"/>
      <c r="D400" s="2"/>
      <c r="E400" s="5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2"/>
      <c r="C401" s="2"/>
      <c r="D401" s="2"/>
      <c r="E401" s="5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2"/>
      <c r="C402" s="2"/>
      <c r="D402" s="2"/>
      <c r="E402" s="5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2"/>
      <c r="C403" s="2"/>
      <c r="D403" s="2"/>
      <c r="E403" s="5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2"/>
      <c r="C404" s="2"/>
      <c r="D404" s="2"/>
      <c r="E404" s="5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2"/>
      <c r="C405" s="2"/>
      <c r="D405" s="2"/>
      <c r="E405" s="5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2"/>
      <c r="C406" s="2"/>
      <c r="D406" s="2"/>
      <c r="E406" s="5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2"/>
      <c r="C407" s="2"/>
      <c r="D407" s="2"/>
      <c r="E407" s="5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2"/>
      <c r="C408" s="2"/>
      <c r="D408" s="2"/>
      <c r="E408" s="5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2"/>
      <c r="C409" s="2"/>
      <c r="D409" s="2"/>
      <c r="E409" s="5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2"/>
      <c r="C410" s="2"/>
      <c r="D410" s="2"/>
      <c r="E410" s="5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2"/>
      <c r="C411" s="2"/>
      <c r="D411" s="2"/>
      <c r="E411" s="5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2"/>
      <c r="C412" s="2"/>
      <c r="D412" s="2"/>
      <c r="E412" s="5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2"/>
      <c r="C413" s="2"/>
      <c r="D413" s="2"/>
      <c r="E413" s="5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2"/>
      <c r="C414" s="2"/>
      <c r="D414" s="2"/>
      <c r="E414" s="5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2"/>
      <c r="C415" s="2"/>
      <c r="D415" s="2"/>
      <c r="E415" s="5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2"/>
      <c r="C416" s="2"/>
      <c r="D416" s="2"/>
      <c r="E416" s="5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2"/>
      <c r="C417" s="2"/>
      <c r="D417" s="2"/>
      <c r="E417" s="5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2"/>
      <c r="C418" s="2"/>
      <c r="D418" s="2"/>
      <c r="E418" s="5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2"/>
      <c r="C419" s="2"/>
      <c r="D419" s="2"/>
      <c r="E419" s="5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2"/>
      <c r="C420" s="2"/>
      <c r="D420" s="2"/>
      <c r="E420" s="5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2"/>
      <c r="C421" s="2"/>
      <c r="D421" s="2"/>
      <c r="E421" s="5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2"/>
      <c r="C422" s="2"/>
      <c r="D422" s="2"/>
      <c r="E422" s="5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2"/>
      <c r="C423" s="2"/>
      <c r="D423" s="2"/>
      <c r="E423" s="5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2"/>
      <c r="C424" s="2"/>
      <c r="D424" s="2"/>
      <c r="E424" s="5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2"/>
      <c r="C425" s="2"/>
      <c r="D425" s="2"/>
      <c r="E425" s="5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2"/>
      <c r="C426" s="2"/>
      <c r="D426" s="2"/>
      <c r="E426" s="5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2"/>
      <c r="C427" s="2"/>
      <c r="D427" s="2"/>
      <c r="E427" s="5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2"/>
      <c r="C428" s="2"/>
      <c r="D428" s="2"/>
      <c r="E428" s="5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2"/>
      <c r="C429" s="2"/>
      <c r="D429" s="2"/>
      <c r="E429" s="5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2"/>
      <c r="C430" s="2"/>
      <c r="D430" s="2"/>
      <c r="E430" s="5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2"/>
      <c r="C431" s="2"/>
      <c r="D431" s="2"/>
      <c r="E431" s="5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2"/>
      <c r="C432" s="2"/>
      <c r="D432" s="2"/>
      <c r="E432" s="5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2"/>
      <c r="C433" s="2"/>
      <c r="D433" s="2"/>
      <c r="E433" s="5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2"/>
      <c r="C434" s="2"/>
      <c r="D434" s="2"/>
      <c r="E434" s="5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2"/>
      <c r="C435" s="2"/>
      <c r="D435" s="2"/>
      <c r="E435" s="5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2"/>
      <c r="C436" s="2"/>
      <c r="D436" s="2"/>
      <c r="E436" s="5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2"/>
      <c r="C437" s="2"/>
      <c r="D437" s="2"/>
      <c r="E437" s="5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2"/>
      <c r="C438" s="2"/>
      <c r="D438" s="2"/>
      <c r="E438" s="5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2"/>
      <c r="C439" s="2"/>
      <c r="D439" s="2"/>
      <c r="E439" s="5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2"/>
      <c r="C440" s="2"/>
      <c r="D440" s="2"/>
      <c r="E440" s="5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2"/>
      <c r="C441" s="2"/>
      <c r="D441" s="2"/>
      <c r="E441" s="5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2"/>
      <c r="C442" s="2"/>
      <c r="D442" s="2"/>
      <c r="E442" s="5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2"/>
      <c r="C443" s="2"/>
      <c r="D443" s="2"/>
      <c r="E443" s="5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2"/>
      <c r="C444" s="2"/>
      <c r="D444" s="2"/>
      <c r="E444" s="5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2"/>
      <c r="C445" s="2"/>
      <c r="D445" s="2"/>
      <c r="E445" s="5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2"/>
      <c r="C446" s="2"/>
      <c r="D446" s="2"/>
      <c r="E446" s="5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2"/>
      <c r="C447" s="2"/>
      <c r="D447" s="2"/>
      <c r="E447" s="5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2"/>
      <c r="C448" s="2"/>
      <c r="D448" s="2"/>
      <c r="E448" s="5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2"/>
      <c r="C449" s="2"/>
      <c r="D449" s="2"/>
      <c r="E449" s="5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2"/>
      <c r="C450" s="2"/>
      <c r="D450" s="2"/>
      <c r="E450" s="5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2"/>
      <c r="C451" s="2"/>
      <c r="D451" s="2"/>
      <c r="E451" s="5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2"/>
      <c r="C452" s="2"/>
      <c r="D452" s="2"/>
      <c r="E452" s="5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2"/>
      <c r="C453" s="2"/>
      <c r="D453" s="2"/>
      <c r="E453" s="5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2"/>
      <c r="C454" s="2"/>
      <c r="D454" s="2"/>
      <c r="E454" s="5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2"/>
      <c r="C455" s="2"/>
      <c r="D455" s="2"/>
      <c r="E455" s="5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2"/>
      <c r="C456" s="2"/>
      <c r="D456" s="2"/>
      <c r="E456" s="5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2"/>
      <c r="C457" s="2"/>
      <c r="D457" s="2"/>
      <c r="E457" s="5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2"/>
      <c r="C458" s="2"/>
      <c r="D458" s="2"/>
      <c r="E458" s="5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2"/>
      <c r="C459" s="2"/>
      <c r="D459" s="2"/>
      <c r="E459" s="5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2"/>
      <c r="C460" s="2"/>
      <c r="D460" s="2"/>
      <c r="E460" s="5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2"/>
      <c r="C461" s="2"/>
      <c r="D461" s="2"/>
      <c r="E461" s="5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2"/>
      <c r="C462" s="2"/>
      <c r="D462" s="2"/>
      <c r="E462" s="5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2"/>
      <c r="C463" s="2"/>
      <c r="D463" s="2"/>
      <c r="E463" s="5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2"/>
      <c r="C464" s="2"/>
      <c r="D464" s="2"/>
      <c r="E464" s="5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2"/>
      <c r="C465" s="2"/>
      <c r="D465" s="2"/>
      <c r="E465" s="5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2"/>
      <c r="C466" s="2"/>
      <c r="D466" s="2"/>
      <c r="E466" s="5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2"/>
      <c r="C467" s="2"/>
      <c r="D467" s="2"/>
      <c r="E467" s="5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2"/>
      <c r="C468" s="2"/>
      <c r="D468" s="2"/>
      <c r="E468" s="5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2"/>
      <c r="C469" s="2"/>
      <c r="D469" s="2"/>
      <c r="E469" s="5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2"/>
      <c r="C470" s="2"/>
      <c r="D470" s="2"/>
      <c r="E470" s="5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2"/>
      <c r="C471" s="2"/>
      <c r="D471" s="2"/>
      <c r="E471" s="5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2"/>
      <c r="C472" s="2"/>
      <c r="D472" s="2"/>
      <c r="E472" s="5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2"/>
      <c r="C473" s="2"/>
      <c r="D473" s="2"/>
      <c r="E473" s="5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2"/>
      <c r="C474" s="2"/>
      <c r="D474" s="2"/>
      <c r="E474" s="5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2"/>
      <c r="C475" s="2"/>
      <c r="D475" s="2"/>
      <c r="E475" s="5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2"/>
      <c r="C476" s="2"/>
      <c r="D476" s="2"/>
      <c r="E476" s="5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2"/>
      <c r="C477" s="2"/>
      <c r="D477" s="2"/>
      <c r="E477" s="5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2"/>
      <c r="C478" s="2"/>
      <c r="D478" s="2"/>
      <c r="E478" s="5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2"/>
      <c r="C479" s="2"/>
      <c r="D479" s="2"/>
      <c r="E479" s="5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2"/>
      <c r="C480" s="2"/>
      <c r="D480" s="2"/>
      <c r="E480" s="5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2"/>
      <c r="C481" s="2"/>
      <c r="D481" s="2"/>
      <c r="E481" s="5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2"/>
      <c r="C482" s="2"/>
      <c r="D482" s="2"/>
      <c r="E482" s="5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2"/>
      <c r="C483" s="2"/>
      <c r="D483" s="2"/>
      <c r="E483" s="5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2"/>
      <c r="C484" s="2"/>
      <c r="D484" s="2"/>
      <c r="E484" s="5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2"/>
      <c r="C485" s="2"/>
      <c r="D485" s="2"/>
      <c r="E485" s="5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2"/>
      <c r="C486" s="2"/>
      <c r="D486" s="2"/>
      <c r="E486" s="5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2"/>
      <c r="C487" s="2"/>
      <c r="D487" s="2"/>
      <c r="E487" s="5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2"/>
      <c r="C488" s="2"/>
      <c r="D488" s="2"/>
      <c r="E488" s="5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2"/>
      <c r="C489" s="2"/>
      <c r="D489" s="2"/>
      <c r="E489" s="5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2"/>
      <c r="C490" s="2"/>
      <c r="D490" s="2"/>
      <c r="E490" s="5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2"/>
      <c r="C491" s="2"/>
      <c r="D491" s="2"/>
      <c r="E491" s="5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2"/>
      <c r="C492" s="2"/>
      <c r="D492" s="2"/>
      <c r="E492" s="5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2"/>
      <c r="C493" s="2"/>
      <c r="D493" s="2"/>
      <c r="E493" s="5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2"/>
      <c r="C494" s="2"/>
      <c r="D494" s="2"/>
      <c r="E494" s="5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2"/>
      <c r="C495" s="2"/>
      <c r="D495" s="2"/>
      <c r="E495" s="5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2"/>
      <c r="C496" s="2"/>
      <c r="D496" s="2"/>
      <c r="E496" s="5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2"/>
      <c r="C497" s="2"/>
      <c r="D497" s="2"/>
      <c r="E497" s="5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2"/>
      <c r="C498" s="2"/>
      <c r="D498" s="2"/>
      <c r="E498" s="5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2"/>
      <c r="C499" s="2"/>
      <c r="D499" s="2"/>
      <c r="E499" s="5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2"/>
      <c r="C500" s="2"/>
      <c r="D500" s="2"/>
      <c r="E500" s="5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4"/>
      <c r="B501" s="2"/>
      <c r="C501" s="2"/>
      <c r="D501" s="2"/>
      <c r="E501" s="5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4"/>
      <c r="B502" s="2"/>
      <c r="C502" s="2"/>
      <c r="D502" s="2"/>
      <c r="E502" s="5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4"/>
      <c r="B503" s="2"/>
      <c r="C503" s="2"/>
      <c r="D503" s="2"/>
      <c r="E503" s="5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4"/>
      <c r="B504" s="2"/>
      <c r="C504" s="2"/>
      <c r="D504" s="2"/>
      <c r="E504" s="5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4"/>
      <c r="B505" s="2"/>
      <c r="C505" s="2"/>
      <c r="D505" s="2"/>
      <c r="E505" s="5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4"/>
      <c r="B506" s="2"/>
      <c r="C506" s="2"/>
      <c r="D506" s="2"/>
      <c r="E506" s="5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4"/>
      <c r="B507" s="2"/>
      <c r="C507" s="2"/>
      <c r="D507" s="2"/>
      <c r="E507" s="5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4"/>
      <c r="B508" s="2"/>
      <c r="C508" s="2"/>
      <c r="D508" s="2"/>
      <c r="E508" s="5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4"/>
      <c r="B509" s="2"/>
      <c r="C509" s="2"/>
      <c r="D509" s="2"/>
      <c r="E509" s="5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4"/>
      <c r="B510" s="2"/>
      <c r="C510" s="2"/>
      <c r="D510" s="2"/>
      <c r="E510" s="5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4"/>
      <c r="B511" s="2"/>
      <c r="C511" s="2"/>
      <c r="D511" s="2"/>
      <c r="E511" s="5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4"/>
      <c r="B512" s="2"/>
      <c r="C512" s="2"/>
      <c r="D512" s="2"/>
      <c r="E512" s="5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4"/>
      <c r="B513" s="2"/>
      <c r="C513" s="2"/>
      <c r="D513" s="2"/>
      <c r="E513" s="5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4"/>
      <c r="B514" s="2"/>
      <c r="C514" s="2"/>
      <c r="D514" s="2"/>
      <c r="E514" s="5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4"/>
      <c r="B515" s="2"/>
      <c r="C515" s="2"/>
      <c r="D515" s="2"/>
      <c r="E515" s="5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4"/>
      <c r="B516" s="2"/>
      <c r="C516" s="2"/>
      <c r="D516" s="2"/>
      <c r="E516" s="5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4"/>
      <c r="B517" s="2"/>
      <c r="C517" s="2"/>
      <c r="D517" s="2"/>
      <c r="E517" s="5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4"/>
      <c r="B518" s="2"/>
      <c r="C518" s="2"/>
      <c r="D518" s="2"/>
      <c r="E518" s="5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4"/>
      <c r="B519" s="2"/>
      <c r="C519" s="2"/>
      <c r="D519" s="2"/>
      <c r="E519" s="5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4"/>
      <c r="B520" s="2"/>
      <c r="C520" s="2"/>
      <c r="D520" s="2"/>
      <c r="E520" s="5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4"/>
      <c r="B521" s="2"/>
      <c r="C521" s="2"/>
      <c r="D521" s="2"/>
      <c r="E521" s="5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4"/>
      <c r="B522" s="2"/>
      <c r="C522" s="2"/>
      <c r="D522" s="2"/>
      <c r="E522" s="5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4"/>
      <c r="B523" s="2"/>
      <c r="C523" s="2"/>
      <c r="D523" s="2"/>
      <c r="E523" s="5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4"/>
      <c r="B524" s="2"/>
      <c r="C524" s="2"/>
      <c r="D524" s="2"/>
      <c r="E524" s="5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4"/>
      <c r="B525" s="2"/>
      <c r="C525" s="2"/>
      <c r="D525" s="2"/>
      <c r="E525" s="5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4"/>
      <c r="B526" s="2"/>
      <c r="C526" s="2"/>
      <c r="D526" s="2"/>
      <c r="E526" s="5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4"/>
      <c r="B527" s="2"/>
      <c r="C527" s="2"/>
      <c r="D527" s="2"/>
      <c r="E527" s="5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4"/>
      <c r="B528" s="2"/>
      <c r="C528" s="2"/>
      <c r="D528" s="2"/>
      <c r="E528" s="5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4"/>
      <c r="B529" s="2"/>
      <c r="C529" s="2"/>
      <c r="D529" s="2"/>
      <c r="E529" s="5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4"/>
      <c r="B530" s="2"/>
      <c r="C530" s="2"/>
      <c r="D530" s="2"/>
      <c r="E530" s="5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4"/>
      <c r="B531" s="2"/>
      <c r="C531" s="2"/>
      <c r="D531" s="2"/>
      <c r="E531" s="5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4"/>
      <c r="B532" s="2"/>
      <c r="C532" s="2"/>
      <c r="D532" s="2"/>
      <c r="E532" s="5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4"/>
      <c r="B533" s="2"/>
      <c r="C533" s="2"/>
      <c r="D533" s="2"/>
      <c r="E533" s="5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4"/>
      <c r="B534" s="2"/>
      <c r="C534" s="2"/>
      <c r="D534" s="2"/>
      <c r="E534" s="5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4"/>
      <c r="B535" s="2"/>
      <c r="C535" s="2"/>
      <c r="D535" s="2"/>
      <c r="E535" s="5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4"/>
      <c r="B536" s="2"/>
      <c r="C536" s="2"/>
      <c r="D536" s="2"/>
      <c r="E536" s="5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4"/>
      <c r="B537" s="2"/>
      <c r="C537" s="2"/>
      <c r="D537" s="2"/>
      <c r="E537" s="5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4"/>
      <c r="B538" s="2"/>
      <c r="C538" s="2"/>
      <c r="D538" s="2"/>
      <c r="E538" s="5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4"/>
      <c r="B539" s="2"/>
      <c r="C539" s="2"/>
      <c r="D539" s="2"/>
      <c r="E539" s="5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4"/>
      <c r="B540" s="2"/>
      <c r="C540" s="2"/>
      <c r="D540" s="2"/>
      <c r="E540" s="5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4"/>
      <c r="B541" s="2"/>
      <c r="C541" s="2"/>
      <c r="D541" s="2"/>
      <c r="E541" s="5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4"/>
      <c r="B542" s="2"/>
      <c r="C542" s="2"/>
      <c r="D542" s="2"/>
      <c r="E542" s="5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4"/>
      <c r="B543" s="2"/>
      <c r="C543" s="2"/>
      <c r="D543" s="2"/>
      <c r="E543" s="5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4"/>
      <c r="B544" s="2"/>
      <c r="C544" s="2"/>
      <c r="D544" s="2"/>
      <c r="E544" s="5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4"/>
      <c r="B545" s="2"/>
      <c r="C545" s="2"/>
      <c r="D545" s="2"/>
      <c r="E545" s="5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4"/>
      <c r="B546" s="2"/>
      <c r="C546" s="2"/>
      <c r="D546" s="2"/>
      <c r="E546" s="5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4"/>
      <c r="B547" s="2"/>
      <c r="C547" s="2"/>
      <c r="D547" s="2"/>
      <c r="E547" s="5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4"/>
      <c r="B548" s="2"/>
      <c r="C548" s="2"/>
      <c r="D548" s="2"/>
      <c r="E548" s="5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4"/>
      <c r="B549" s="2"/>
      <c r="C549" s="2"/>
      <c r="D549" s="2"/>
      <c r="E549" s="5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4"/>
      <c r="B550" s="2"/>
      <c r="C550" s="2"/>
      <c r="D550" s="2"/>
      <c r="E550" s="5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4"/>
      <c r="B551" s="2"/>
      <c r="C551" s="2"/>
      <c r="D551" s="2"/>
      <c r="E551" s="5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4"/>
      <c r="B552" s="2"/>
      <c r="C552" s="2"/>
      <c r="D552" s="2"/>
      <c r="E552" s="5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4"/>
      <c r="B553" s="2"/>
      <c r="C553" s="2"/>
      <c r="D553" s="2"/>
      <c r="E553" s="5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4"/>
      <c r="B554" s="2"/>
      <c r="C554" s="2"/>
      <c r="D554" s="2"/>
      <c r="E554" s="5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4"/>
      <c r="B555" s="2"/>
      <c r="C555" s="2"/>
      <c r="D555" s="2"/>
      <c r="E555" s="5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4"/>
      <c r="B556" s="2"/>
      <c r="C556" s="2"/>
      <c r="D556" s="2"/>
      <c r="E556" s="5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4"/>
      <c r="B557" s="2"/>
      <c r="C557" s="2"/>
      <c r="D557" s="2"/>
      <c r="E557" s="5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4"/>
      <c r="B558" s="2"/>
      <c r="C558" s="2"/>
      <c r="D558" s="2"/>
      <c r="E558" s="5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4"/>
      <c r="B559" s="2"/>
      <c r="C559" s="2"/>
      <c r="D559" s="2"/>
      <c r="E559" s="5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4"/>
      <c r="B560" s="2"/>
      <c r="C560" s="2"/>
      <c r="D560" s="2"/>
      <c r="E560" s="5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4"/>
      <c r="B561" s="2"/>
      <c r="C561" s="2"/>
      <c r="D561" s="2"/>
      <c r="E561" s="5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4"/>
      <c r="B562" s="2"/>
      <c r="C562" s="2"/>
      <c r="D562" s="2"/>
      <c r="E562" s="5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4"/>
      <c r="B563" s="2"/>
      <c r="C563" s="2"/>
      <c r="D563" s="2"/>
      <c r="E563" s="5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4"/>
      <c r="B564" s="2"/>
      <c r="C564" s="2"/>
      <c r="D564" s="2"/>
      <c r="E564" s="5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4"/>
      <c r="B565" s="2"/>
      <c r="C565" s="2"/>
      <c r="D565" s="2"/>
      <c r="E565" s="5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4"/>
      <c r="B566" s="2"/>
      <c r="C566" s="2"/>
      <c r="D566" s="2"/>
      <c r="E566" s="5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4"/>
      <c r="B567" s="2"/>
      <c r="C567" s="2"/>
      <c r="D567" s="2"/>
      <c r="E567" s="5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4"/>
      <c r="B568" s="2"/>
      <c r="C568" s="2"/>
      <c r="D568" s="2"/>
      <c r="E568" s="5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4"/>
      <c r="B569" s="2"/>
      <c r="C569" s="2"/>
      <c r="D569" s="2"/>
      <c r="E569" s="5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4"/>
      <c r="B570" s="2"/>
      <c r="C570" s="2"/>
      <c r="D570" s="2"/>
      <c r="E570" s="5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4"/>
      <c r="B571" s="2"/>
      <c r="C571" s="2"/>
      <c r="D571" s="2"/>
      <c r="E571" s="5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4"/>
      <c r="B572" s="2"/>
      <c r="C572" s="2"/>
      <c r="D572" s="2"/>
      <c r="E572" s="5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4"/>
      <c r="B573" s="2"/>
      <c r="C573" s="2"/>
      <c r="D573" s="2"/>
      <c r="E573" s="5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4"/>
      <c r="B574" s="2"/>
      <c r="C574" s="2"/>
      <c r="D574" s="2"/>
      <c r="E574" s="5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4"/>
      <c r="B575" s="2"/>
      <c r="C575" s="2"/>
      <c r="D575" s="2"/>
      <c r="E575" s="5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4"/>
      <c r="B576" s="2"/>
      <c r="C576" s="2"/>
      <c r="D576" s="2"/>
      <c r="E576" s="5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4"/>
      <c r="B577" s="2"/>
      <c r="C577" s="2"/>
      <c r="D577" s="2"/>
      <c r="E577" s="5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4"/>
      <c r="B578" s="2"/>
      <c r="C578" s="2"/>
      <c r="D578" s="2"/>
      <c r="E578" s="5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4"/>
      <c r="B579" s="2"/>
      <c r="C579" s="2"/>
      <c r="D579" s="2"/>
      <c r="E579" s="5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4"/>
      <c r="B580" s="2"/>
      <c r="C580" s="2"/>
      <c r="D580" s="2"/>
      <c r="E580" s="5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4"/>
      <c r="B581" s="2"/>
      <c r="C581" s="2"/>
      <c r="D581" s="2"/>
      <c r="E581" s="5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4"/>
      <c r="B582" s="2"/>
      <c r="C582" s="2"/>
      <c r="D582" s="2"/>
      <c r="E582" s="5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4"/>
      <c r="B583" s="2"/>
      <c r="C583" s="2"/>
      <c r="D583" s="2"/>
      <c r="E583" s="5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4"/>
      <c r="B584" s="2"/>
      <c r="C584" s="2"/>
      <c r="D584" s="2"/>
      <c r="E584" s="5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4"/>
      <c r="B585" s="2"/>
      <c r="C585" s="2"/>
      <c r="D585" s="2"/>
      <c r="E585" s="5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4"/>
      <c r="B586" s="2"/>
      <c r="C586" s="2"/>
      <c r="D586" s="2"/>
      <c r="E586" s="5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4"/>
      <c r="B587" s="2"/>
      <c r="C587" s="2"/>
      <c r="D587" s="2"/>
      <c r="E587" s="5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4"/>
      <c r="B588" s="2"/>
      <c r="C588" s="2"/>
      <c r="D588" s="2"/>
      <c r="E588" s="5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4"/>
      <c r="B589" s="2"/>
      <c r="C589" s="2"/>
      <c r="D589" s="2"/>
      <c r="E589" s="5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4"/>
      <c r="B590" s="2"/>
      <c r="C590" s="2"/>
      <c r="D590" s="2"/>
      <c r="E590" s="5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4"/>
      <c r="B591" s="2"/>
      <c r="C591" s="2"/>
      <c r="D591" s="2"/>
      <c r="E591" s="5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4"/>
      <c r="B592" s="2"/>
      <c r="C592" s="2"/>
      <c r="D592" s="2"/>
      <c r="E592" s="5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4"/>
      <c r="B593" s="2"/>
      <c r="C593" s="2"/>
      <c r="D593" s="2"/>
      <c r="E593" s="5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4"/>
      <c r="B594" s="2"/>
      <c r="C594" s="2"/>
      <c r="D594" s="2"/>
      <c r="E594" s="5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4"/>
      <c r="B595" s="2"/>
      <c r="C595" s="2"/>
      <c r="D595" s="2"/>
      <c r="E595" s="5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4"/>
      <c r="B596" s="2"/>
      <c r="C596" s="2"/>
      <c r="D596" s="2"/>
      <c r="E596" s="5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4"/>
      <c r="B597" s="2"/>
      <c r="C597" s="2"/>
      <c r="D597" s="2"/>
      <c r="E597" s="5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4"/>
      <c r="B598" s="2"/>
      <c r="C598" s="2"/>
      <c r="D598" s="2"/>
      <c r="E598" s="5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4"/>
      <c r="B599" s="2"/>
      <c r="C599" s="2"/>
      <c r="D599" s="2"/>
      <c r="E599" s="5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4"/>
      <c r="B600" s="2"/>
      <c r="C600" s="2"/>
      <c r="D600" s="2"/>
      <c r="E600" s="5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4"/>
      <c r="B601" s="2"/>
      <c r="C601" s="2"/>
      <c r="D601" s="2"/>
      <c r="E601" s="5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4"/>
      <c r="B602" s="2"/>
      <c r="C602" s="2"/>
      <c r="D602" s="2"/>
      <c r="E602" s="5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4"/>
      <c r="B603" s="2"/>
      <c r="C603" s="2"/>
      <c r="D603" s="2"/>
      <c r="E603" s="5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4"/>
      <c r="B604" s="2"/>
      <c r="C604" s="2"/>
      <c r="D604" s="2"/>
      <c r="E604" s="5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4"/>
      <c r="B605" s="2"/>
      <c r="C605" s="2"/>
      <c r="D605" s="2"/>
      <c r="E605" s="5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4"/>
      <c r="B606" s="2"/>
      <c r="C606" s="2"/>
      <c r="D606" s="2"/>
      <c r="E606" s="5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4"/>
      <c r="B607" s="2"/>
      <c r="C607" s="2"/>
      <c r="D607" s="2"/>
      <c r="E607" s="5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4"/>
      <c r="B608" s="2"/>
      <c r="C608" s="2"/>
      <c r="D608" s="2"/>
      <c r="E608" s="5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4"/>
      <c r="B609" s="2"/>
      <c r="C609" s="2"/>
      <c r="D609" s="2"/>
      <c r="E609" s="5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4"/>
      <c r="B610" s="2"/>
      <c r="C610" s="2"/>
      <c r="D610" s="2"/>
      <c r="E610" s="5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4"/>
      <c r="B611" s="2"/>
      <c r="C611" s="2"/>
      <c r="D611" s="2"/>
      <c r="E611" s="5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4"/>
      <c r="B612" s="2"/>
      <c r="C612" s="2"/>
      <c r="D612" s="2"/>
      <c r="E612" s="5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4"/>
      <c r="B613" s="2"/>
      <c r="C613" s="2"/>
      <c r="D613" s="2"/>
      <c r="E613" s="5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4"/>
      <c r="B614" s="2"/>
      <c r="C614" s="2"/>
      <c r="D614" s="2"/>
      <c r="E614" s="5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4"/>
      <c r="B615" s="2"/>
      <c r="C615" s="2"/>
      <c r="D615" s="2"/>
      <c r="E615" s="5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4"/>
      <c r="B616" s="2"/>
      <c r="C616" s="2"/>
      <c r="D616" s="2"/>
      <c r="E616" s="5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4"/>
      <c r="B617" s="2"/>
      <c r="C617" s="2"/>
      <c r="D617" s="2"/>
      <c r="E617" s="5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4"/>
      <c r="B618" s="2"/>
      <c r="C618" s="2"/>
      <c r="D618" s="2"/>
      <c r="E618" s="5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4"/>
      <c r="B619" s="2"/>
      <c r="C619" s="2"/>
      <c r="D619" s="2"/>
      <c r="E619" s="5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4"/>
      <c r="B620" s="2"/>
      <c r="C620" s="2"/>
      <c r="D620" s="2"/>
      <c r="E620" s="5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4"/>
      <c r="B621" s="2"/>
      <c r="C621" s="2"/>
      <c r="D621" s="2"/>
      <c r="E621" s="5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4"/>
      <c r="B622" s="2"/>
      <c r="C622" s="2"/>
      <c r="D622" s="2"/>
      <c r="E622" s="5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4"/>
      <c r="B623" s="2"/>
      <c r="C623" s="2"/>
      <c r="D623" s="2"/>
      <c r="E623" s="5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4"/>
      <c r="B624" s="2"/>
      <c r="C624" s="2"/>
      <c r="D624" s="2"/>
      <c r="E624" s="5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4"/>
      <c r="B625" s="2"/>
      <c r="C625" s="2"/>
      <c r="D625" s="2"/>
      <c r="E625" s="5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4"/>
      <c r="B626" s="2"/>
      <c r="C626" s="2"/>
      <c r="D626" s="2"/>
      <c r="E626" s="5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4"/>
      <c r="B627" s="2"/>
      <c r="C627" s="2"/>
      <c r="D627" s="2"/>
      <c r="E627" s="5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4"/>
      <c r="B628" s="2"/>
      <c r="C628" s="2"/>
      <c r="D628" s="2"/>
      <c r="E628" s="5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4"/>
      <c r="B629" s="2"/>
      <c r="C629" s="2"/>
      <c r="D629" s="2"/>
      <c r="E629" s="5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4"/>
      <c r="B630" s="2"/>
      <c r="C630" s="2"/>
      <c r="D630" s="2"/>
      <c r="E630" s="5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4"/>
      <c r="B631" s="2"/>
      <c r="C631" s="2"/>
      <c r="D631" s="2"/>
      <c r="E631" s="5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4"/>
      <c r="B632" s="2"/>
      <c r="C632" s="2"/>
      <c r="D632" s="2"/>
      <c r="E632" s="5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4"/>
      <c r="B633" s="2"/>
      <c r="C633" s="2"/>
      <c r="D633" s="2"/>
      <c r="E633" s="5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4"/>
      <c r="B634" s="2"/>
      <c r="C634" s="2"/>
      <c r="D634" s="2"/>
      <c r="E634" s="5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4"/>
      <c r="B635" s="2"/>
      <c r="C635" s="2"/>
      <c r="D635" s="2"/>
      <c r="E635" s="5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4"/>
      <c r="B636" s="2"/>
      <c r="C636" s="2"/>
      <c r="D636" s="2"/>
      <c r="E636" s="5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4"/>
      <c r="B637" s="2"/>
      <c r="C637" s="2"/>
      <c r="D637" s="2"/>
      <c r="E637" s="5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4"/>
      <c r="B638" s="2"/>
      <c r="C638" s="2"/>
      <c r="D638" s="2"/>
      <c r="E638" s="5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4"/>
      <c r="B639" s="2"/>
      <c r="C639" s="2"/>
      <c r="D639" s="2"/>
      <c r="E639" s="5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4"/>
      <c r="B640" s="2"/>
      <c r="C640" s="2"/>
      <c r="D640" s="2"/>
      <c r="E640" s="5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4"/>
      <c r="B641" s="2"/>
      <c r="C641" s="2"/>
      <c r="D641" s="2"/>
      <c r="E641" s="5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4"/>
      <c r="B642" s="2"/>
      <c r="C642" s="2"/>
      <c r="D642" s="2"/>
      <c r="E642" s="5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4"/>
      <c r="B643" s="2"/>
      <c r="C643" s="2"/>
      <c r="D643" s="2"/>
      <c r="E643" s="5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4"/>
      <c r="B644" s="2"/>
      <c r="C644" s="2"/>
      <c r="D644" s="2"/>
      <c r="E644" s="5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4"/>
      <c r="B645" s="2"/>
      <c r="C645" s="2"/>
      <c r="D645" s="2"/>
      <c r="E645" s="5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4"/>
      <c r="B646" s="2"/>
      <c r="C646" s="2"/>
      <c r="D646" s="2"/>
      <c r="E646" s="5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4"/>
      <c r="B647" s="2"/>
      <c r="C647" s="2"/>
      <c r="D647" s="2"/>
      <c r="E647" s="5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4"/>
      <c r="B648" s="2"/>
      <c r="C648" s="2"/>
      <c r="D648" s="2"/>
      <c r="E648" s="5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4"/>
      <c r="B649" s="2"/>
      <c r="C649" s="2"/>
      <c r="D649" s="2"/>
      <c r="E649" s="5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4"/>
      <c r="B650" s="2"/>
      <c r="C650" s="2"/>
      <c r="D650" s="2"/>
      <c r="E650" s="5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4"/>
      <c r="B651" s="2"/>
      <c r="C651" s="2"/>
      <c r="D651" s="2"/>
      <c r="E651" s="5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4"/>
      <c r="B652" s="2"/>
      <c r="C652" s="2"/>
      <c r="D652" s="2"/>
      <c r="E652" s="5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4"/>
      <c r="B653" s="2"/>
      <c r="C653" s="2"/>
      <c r="D653" s="2"/>
      <c r="E653" s="5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4"/>
      <c r="B654" s="2"/>
      <c r="C654" s="2"/>
      <c r="D654" s="2"/>
      <c r="E654" s="5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4"/>
      <c r="B655" s="2"/>
      <c r="C655" s="2"/>
      <c r="D655" s="2"/>
      <c r="E655" s="5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4"/>
      <c r="B656" s="2"/>
      <c r="C656" s="2"/>
      <c r="D656" s="2"/>
      <c r="E656" s="5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4"/>
      <c r="B657" s="2"/>
      <c r="C657" s="2"/>
      <c r="D657" s="2"/>
      <c r="E657" s="5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4"/>
      <c r="B658" s="2"/>
      <c r="C658" s="2"/>
      <c r="D658" s="2"/>
      <c r="E658" s="5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4"/>
      <c r="B659" s="2"/>
      <c r="C659" s="2"/>
      <c r="D659" s="2"/>
      <c r="E659" s="5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4"/>
      <c r="B660" s="2"/>
      <c r="C660" s="2"/>
      <c r="D660" s="2"/>
      <c r="E660" s="5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4"/>
      <c r="B661" s="2"/>
      <c r="C661" s="2"/>
      <c r="D661" s="2"/>
      <c r="E661" s="5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4"/>
      <c r="B662" s="2"/>
      <c r="C662" s="2"/>
      <c r="D662" s="2"/>
      <c r="E662" s="5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4"/>
      <c r="B663" s="2"/>
      <c r="C663" s="2"/>
      <c r="D663" s="2"/>
      <c r="E663" s="5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4"/>
      <c r="B664" s="2"/>
      <c r="C664" s="2"/>
      <c r="D664" s="2"/>
      <c r="E664" s="5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4"/>
      <c r="B665" s="2"/>
      <c r="C665" s="2"/>
      <c r="D665" s="2"/>
      <c r="E665" s="5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4"/>
      <c r="B666" s="2"/>
      <c r="C666" s="2"/>
      <c r="D666" s="2"/>
      <c r="E666" s="5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4"/>
      <c r="B667" s="2"/>
      <c r="C667" s="2"/>
      <c r="D667" s="2"/>
      <c r="E667" s="5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4"/>
      <c r="B668" s="2"/>
      <c r="C668" s="2"/>
      <c r="D668" s="2"/>
      <c r="E668" s="5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4"/>
      <c r="B669" s="2"/>
      <c r="C669" s="2"/>
      <c r="D669" s="2"/>
      <c r="E669" s="5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4"/>
      <c r="B670" s="2"/>
      <c r="C670" s="2"/>
      <c r="D670" s="2"/>
      <c r="E670" s="5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4"/>
      <c r="B671" s="2"/>
      <c r="C671" s="2"/>
      <c r="D671" s="2"/>
      <c r="E671" s="5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4"/>
      <c r="B672" s="2"/>
      <c r="C672" s="2"/>
      <c r="D672" s="2"/>
      <c r="E672" s="5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4"/>
      <c r="B673" s="2"/>
      <c r="C673" s="2"/>
      <c r="D673" s="2"/>
      <c r="E673" s="5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4"/>
      <c r="B674" s="2"/>
      <c r="C674" s="2"/>
      <c r="D674" s="2"/>
      <c r="E674" s="5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4"/>
      <c r="B675" s="2"/>
      <c r="C675" s="2"/>
      <c r="D675" s="2"/>
      <c r="E675" s="5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4"/>
      <c r="B676" s="2"/>
      <c r="C676" s="2"/>
      <c r="D676" s="2"/>
      <c r="E676" s="5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4"/>
      <c r="B677" s="2"/>
      <c r="C677" s="2"/>
      <c r="D677" s="2"/>
      <c r="E677" s="5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4"/>
      <c r="B678" s="2"/>
      <c r="C678" s="2"/>
      <c r="D678" s="2"/>
      <c r="E678" s="5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4"/>
      <c r="B679" s="2"/>
      <c r="C679" s="2"/>
      <c r="D679" s="2"/>
      <c r="E679" s="5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4"/>
      <c r="B680" s="2"/>
      <c r="C680" s="2"/>
      <c r="D680" s="2"/>
      <c r="E680" s="5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4"/>
      <c r="B681" s="2"/>
      <c r="C681" s="2"/>
      <c r="D681" s="2"/>
      <c r="E681" s="5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4"/>
      <c r="B682" s="2"/>
      <c r="C682" s="2"/>
      <c r="D682" s="2"/>
      <c r="E682" s="5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4"/>
      <c r="B683" s="2"/>
      <c r="C683" s="2"/>
      <c r="D683" s="2"/>
      <c r="E683" s="5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4"/>
      <c r="B684" s="2"/>
      <c r="C684" s="2"/>
      <c r="D684" s="2"/>
      <c r="E684" s="5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4"/>
      <c r="B685" s="2"/>
      <c r="C685" s="2"/>
      <c r="D685" s="2"/>
      <c r="E685" s="5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4"/>
      <c r="B686" s="2"/>
      <c r="C686" s="2"/>
      <c r="D686" s="2"/>
      <c r="E686" s="5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4"/>
      <c r="B687" s="2"/>
      <c r="C687" s="2"/>
      <c r="D687" s="2"/>
      <c r="E687" s="5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4"/>
      <c r="B688" s="2"/>
      <c r="C688" s="2"/>
      <c r="D688" s="2"/>
      <c r="E688" s="5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4"/>
      <c r="B689" s="2"/>
      <c r="C689" s="2"/>
      <c r="D689" s="2"/>
      <c r="E689" s="5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4"/>
      <c r="B690" s="2"/>
      <c r="C690" s="2"/>
      <c r="D690" s="2"/>
      <c r="E690" s="5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4"/>
      <c r="B691" s="2"/>
      <c r="C691" s="2"/>
      <c r="D691" s="2"/>
      <c r="E691" s="5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4"/>
      <c r="B692" s="2"/>
      <c r="C692" s="2"/>
      <c r="D692" s="2"/>
      <c r="E692" s="5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4"/>
      <c r="B693" s="2"/>
      <c r="C693" s="2"/>
      <c r="D693" s="2"/>
      <c r="E693" s="5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4"/>
      <c r="B694" s="2"/>
      <c r="C694" s="2"/>
      <c r="D694" s="2"/>
      <c r="E694" s="5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4"/>
      <c r="B695" s="2"/>
      <c r="C695" s="2"/>
      <c r="D695" s="2"/>
      <c r="E695" s="5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4"/>
      <c r="B696" s="2"/>
      <c r="C696" s="2"/>
      <c r="D696" s="2"/>
      <c r="E696" s="5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4"/>
      <c r="B697" s="2"/>
      <c r="C697" s="2"/>
      <c r="D697" s="2"/>
      <c r="E697" s="5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4"/>
      <c r="B698" s="2"/>
      <c r="C698" s="2"/>
      <c r="D698" s="2"/>
      <c r="E698" s="5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4"/>
      <c r="B699" s="2"/>
      <c r="C699" s="2"/>
      <c r="D699" s="2"/>
      <c r="E699" s="5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4"/>
      <c r="B700" s="2"/>
      <c r="C700" s="2"/>
      <c r="D700" s="2"/>
      <c r="E700" s="5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4"/>
      <c r="B701" s="2"/>
      <c r="C701" s="2"/>
      <c r="D701" s="2"/>
      <c r="E701" s="5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4"/>
      <c r="B702" s="2"/>
      <c r="C702" s="2"/>
      <c r="D702" s="2"/>
      <c r="E702" s="5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4"/>
      <c r="B703" s="2"/>
      <c r="C703" s="2"/>
      <c r="D703" s="2"/>
      <c r="E703" s="5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4"/>
      <c r="B704" s="2"/>
      <c r="C704" s="2"/>
      <c r="D704" s="2"/>
      <c r="E704" s="5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4"/>
      <c r="B705" s="2"/>
      <c r="C705" s="2"/>
      <c r="D705" s="2"/>
      <c r="E705" s="5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4"/>
      <c r="B706" s="2"/>
      <c r="C706" s="2"/>
      <c r="D706" s="2"/>
      <c r="E706" s="5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4"/>
      <c r="B707" s="2"/>
      <c r="C707" s="2"/>
      <c r="D707" s="2"/>
      <c r="E707" s="5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4"/>
      <c r="B708" s="2"/>
      <c r="C708" s="2"/>
      <c r="D708" s="2"/>
      <c r="E708" s="5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4"/>
      <c r="B709" s="2"/>
      <c r="C709" s="2"/>
      <c r="D709" s="2"/>
      <c r="E709" s="5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4"/>
      <c r="B710" s="2"/>
      <c r="C710" s="2"/>
      <c r="D710" s="2"/>
      <c r="E710" s="5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4"/>
      <c r="B711" s="2"/>
      <c r="C711" s="2"/>
      <c r="D711" s="2"/>
      <c r="E711" s="5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4"/>
      <c r="B712" s="2"/>
      <c r="C712" s="2"/>
      <c r="D712" s="2"/>
      <c r="E712" s="5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4"/>
      <c r="B713" s="2"/>
      <c r="C713" s="2"/>
      <c r="D713" s="2"/>
      <c r="E713" s="5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4"/>
      <c r="B714" s="2"/>
      <c r="C714" s="2"/>
      <c r="D714" s="2"/>
      <c r="E714" s="5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4"/>
      <c r="B715" s="2"/>
      <c r="C715" s="2"/>
      <c r="D715" s="2"/>
      <c r="E715" s="5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4"/>
      <c r="B716" s="2"/>
      <c r="C716" s="2"/>
      <c r="D716" s="2"/>
      <c r="E716" s="5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4"/>
      <c r="B717" s="2"/>
      <c r="C717" s="2"/>
      <c r="D717" s="2"/>
      <c r="E717" s="5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4"/>
      <c r="B718" s="2"/>
      <c r="C718" s="2"/>
      <c r="D718" s="2"/>
      <c r="E718" s="5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4"/>
      <c r="B719" s="2"/>
      <c r="C719" s="2"/>
      <c r="D719" s="2"/>
      <c r="E719" s="5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4"/>
      <c r="B720" s="2"/>
      <c r="C720" s="2"/>
      <c r="D720" s="2"/>
      <c r="E720" s="5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4"/>
      <c r="B721" s="2"/>
      <c r="C721" s="2"/>
      <c r="D721" s="2"/>
      <c r="E721" s="5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4"/>
      <c r="B722" s="2"/>
      <c r="C722" s="2"/>
      <c r="D722" s="2"/>
      <c r="E722" s="5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4"/>
      <c r="B723" s="2"/>
      <c r="C723" s="2"/>
      <c r="D723" s="2"/>
      <c r="E723" s="5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4"/>
      <c r="B724" s="2"/>
      <c r="C724" s="2"/>
      <c r="D724" s="2"/>
      <c r="E724" s="5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4"/>
      <c r="B725" s="2"/>
      <c r="C725" s="2"/>
      <c r="D725" s="2"/>
      <c r="E725" s="5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4"/>
      <c r="B726" s="2"/>
      <c r="C726" s="2"/>
      <c r="D726" s="2"/>
      <c r="E726" s="5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4"/>
      <c r="B727" s="2"/>
      <c r="C727" s="2"/>
      <c r="D727" s="2"/>
      <c r="E727" s="5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4"/>
      <c r="B728" s="2"/>
      <c r="C728" s="2"/>
      <c r="D728" s="2"/>
      <c r="E728" s="5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4"/>
      <c r="B729" s="2"/>
      <c r="C729" s="2"/>
      <c r="D729" s="2"/>
      <c r="E729" s="5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4"/>
      <c r="B730" s="2"/>
      <c r="C730" s="2"/>
      <c r="D730" s="2"/>
      <c r="E730" s="5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4"/>
      <c r="B731" s="2"/>
      <c r="C731" s="2"/>
      <c r="D731" s="2"/>
      <c r="E731" s="5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4"/>
      <c r="B732" s="2"/>
      <c r="C732" s="2"/>
      <c r="D732" s="2"/>
      <c r="E732" s="5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4"/>
      <c r="B733" s="2"/>
      <c r="C733" s="2"/>
      <c r="D733" s="2"/>
      <c r="E733" s="5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4"/>
      <c r="B734" s="2"/>
      <c r="C734" s="2"/>
      <c r="D734" s="2"/>
      <c r="E734" s="5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4"/>
      <c r="B735" s="2"/>
      <c r="C735" s="2"/>
      <c r="D735" s="2"/>
      <c r="E735" s="5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4"/>
      <c r="B736" s="2"/>
      <c r="C736" s="2"/>
      <c r="D736" s="2"/>
      <c r="E736" s="5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4"/>
      <c r="B737" s="2"/>
      <c r="C737" s="2"/>
      <c r="D737" s="2"/>
      <c r="E737" s="5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4"/>
      <c r="B738" s="2"/>
      <c r="C738" s="2"/>
      <c r="D738" s="2"/>
      <c r="E738" s="5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4"/>
      <c r="B739" s="2"/>
      <c r="C739" s="2"/>
      <c r="D739" s="2"/>
      <c r="E739" s="5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4"/>
      <c r="B740" s="2"/>
      <c r="C740" s="2"/>
      <c r="D740" s="2"/>
      <c r="E740" s="5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4"/>
      <c r="B741" s="2"/>
      <c r="C741" s="2"/>
      <c r="D741" s="2"/>
      <c r="E741" s="5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4"/>
      <c r="B742" s="2"/>
      <c r="C742" s="2"/>
      <c r="D742" s="2"/>
      <c r="E742" s="5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4"/>
      <c r="B743" s="2"/>
      <c r="C743" s="2"/>
      <c r="D743" s="2"/>
      <c r="E743" s="5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4"/>
      <c r="B744" s="2"/>
      <c r="C744" s="2"/>
      <c r="D744" s="2"/>
      <c r="E744" s="5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4"/>
      <c r="B745" s="2"/>
      <c r="C745" s="2"/>
      <c r="D745" s="2"/>
      <c r="E745" s="5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4"/>
      <c r="B746" s="2"/>
      <c r="C746" s="2"/>
      <c r="D746" s="2"/>
      <c r="E746" s="5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4"/>
      <c r="B747" s="2"/>
      <c r="C747" s="2"/>
      <c r="D747" s="2"/>
      <c r="E747" s="5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4"/>
      <c r="B748" s="2"/>
      <c r="C748" s="2"/>
      <c r="D748" s="2"/>
      <c r="E748" s="5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4"/>
      <c r="B749" s="2"/>
      <c r="C749" s="2"/>
      <c r="D749" s="2"/>
      <c r="E749" s="5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4"/>
      <c r="B750" s="2"/>
      <c r="C750" s="2"/>
      <c r="D750" s="2"/>
      <c r="E750" s="5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4"/>
      <c r="B751" s="2"/>
      <c r="C751" s="2"/>
      <c r="D751" s="2"/>
      <c r="E751" s="5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4"/>
      <c r="B752" s="2"/>
      <c r="C752" s="2"/>
      <c r="D752" s="2"/>
      <c r="E752" s="5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4"/>
      <c r="B753" s="2"/>
      <c r="C753" s="2"/>
      <c r="D753" s="2"/>
      <c r="E753" s="5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4"/>
      <c r="B754" s="2"/>
      <c r="C754" s="2"/>
      <c r="D754" s="2"/>
      <c r="E754" s="5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4"/>
      <c r="B755" s="2"/>
      <c r="C755" s="2"/>
      <c r="D755" s="2"/>
      <c r="E755" s="5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4"/>
      <c r="B756" s="2"/>
      <c r="C756" s="2"/>
      <c r="D756" s="2"/>
      <c r="E756" s="5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4"/>
      <c r="B757" s="2"/>
      <c r="C757" s="2"/>
      <c r="D757" s="2"/>
      <c r="E757" s="5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4"/>
      <c r="B758" s="2"/>
      <c r="C758" s="2"/>
      <c r="D758" s="2"/>
      <c r="E758" s="5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4"/>
      <c r="B759" s="2"/>
      <c r="C759" s="2"/>
      <c r="D759" s="2"/>
      <c r="E759" s="5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4"/>
      <c r="B760" s="2"/>
      <c r="C760" s="2"/>
      <c r="D760" s="2"/>
      <c r="E760" s="5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4"/>
      <c r="B761" s="2"/>
      <c r="C761" s="2"/>
      <c r="D761" s="2"/>
      <c r="E761" s="5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4"/>
      <c r="B762" s="2"/>
      <c r="C762" s="2"/>
      <c r="D762" s="2"/>
      <c r="E762" s="5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4"/>
      <c r="B763" s="2"/>
      <c r="C763" s="2"/>
      <c r="D763" s="2"/>
      <c r="E763" s="5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4"/>
      <c r="B764" s="2"/>
      <c r="C764" s="2"/>
      <c r="D764" s="2"/>
      <c r="E764" s="5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4"/>
      <c r="B765" s="2"/>
      <c r="C765" s="2"/>
      <c r="D765" s="2"/>
      <c r="E765" s="5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4"/>
      <c r="B766" s="2"/>
      <c r="C766" s="2"/>
      <c r="D766" s="2"/>
      <c r="E766" s="5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4"/>
      <c r="B767" s="2"/>
      <c r="C767" s="2"/>
      <c r="D767" s="2"/>
      <c r="E767" s="5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4"/>
      <c r="B768" s="2"/>
      <c r="C768" s="2"/>
      <c r="D768" s="2"/>
      <c r="E768" s="5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4"/>
      <c r="B769" s="2"/>
      <c r="C769" s="2"/>
      <c r="D769" s="2"/>
      <c r="E769" s="5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4"/>
      <c r="B770" s="2"/>
      <c r="C770" s="2"/>
      <c r="D770" s="2"/>
      <c r="E770" s="5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4"/>
      <c r="B771" s="2"/>
      <c r="C771" s="2"/>
      <c r="D771" s="2"/>
      <c r="E771" s="5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4"/>
      <c r="B772" s="2"/>
      <c r="C772" s="2"/>
      <c r="D772" s="2"/>
      <c r="E772" s="5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4"/>
      <c r="B773" s="2"/>
      <c r="C773" s="2"/>
      <c r="D773" s="2"/>
      <c r="E773" s="5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4"/>
      <c r="B774" s="2"/>
      <c r="C774" s="2"/>
      <c r="D774" s="2"/>
      <c r="E774" s="5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4"/>
      <c r="B775" s="2"/>
      <c r="C775" s="2"/>
      <c r="D775" s="2"/>
      <c r="E775" s="5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4"/>
      <c r="B776" s="2"/>
      <c r="C776" s="2"/>
      <c r="D776" s="2"/>
      <c r="E776" s="5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4"/>
      <c r="B777" s="2"/>
      <c r="C777" s="2"/>
      <c r="D777" s="2"/>
      <c r="E777" s="5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4"/>
      <c r="B778" s="2"/>
      <c r="C778" s="2"/>
      <c r="D778" s="2"/>
      <c r="E778" s="5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4"/>
      <c r="B779" s="2"/>
      <c r="C779" s="2"/>
      <c r="D779" s="2"/>
      <c r="E779" s="5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4"/>
      <c r="B780" s="2"/>
      <c r="C780" s="2"/>
      <c r="D780" s="2"/>
      <c r="E780" s="5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4"/>
      <c r="B781" s="2"/>
      <c r="C781" s="2"/>
      <c r="D781" s="2"/>
      <c r="E781" s="5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4"/>
      <c r="B782" s="2"/>
      <c r="C782" s="2"/>
      <c r="D782" s="2"/>
      <c r="E782" s="5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4"/>
      <c r="B783" s="2"/>
      <c r="C783" s="2"/>
      <c r="D783" s="2"/>
      <c r="E783" s="5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4"/>
      <c r="B784" s="2"/>
      <c r="C784" s="2"/>
      <c r="D784" s="2"/>
      <c r="E784" s="5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4"/>
      <c r="B785" s="2"/>
      <c r="C785" s="2"/>
      <c r="D785" s="2"/>
      <c r="E785" s="5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4"/>
      <c r="B786" s="2"/>
      <c r="C786" s="2"/>
      <c r="D786" s="2"/>
      <c r="E786" s="5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4"/>
      <c r="B787" s="2"/>
      <c r="C787" s="2"/>
      <c r="D787" s="2"/>
      <c r="E787" s="5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4"/>
      <c r="B788" s="2"/>
      <c r="C788" s="2"/>
      <c r="D788" s="2"/>
      <c r="E788" s="5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4"/>
      <c r="B789" s="2"/>
      <c r="C789" s="2"/>
      <c r="D789" s="2"/>
      <c r="E789" s="5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4"/>
      <c r="B790" s="2"/>
      <c r="C790" s="2"/>
      <c r="D790" s="2"/>
      <c r="E790" s="5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4"/>
      <c r="B791" s="2"/>
      <c r="C791" s="2"/>
      <c r="D791" s="2"/>
      <c r="E791" s="5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4"/>
      <c r="B792" s="2"/>
      <c r="C792" s="2"/>
      <c r="D792" s="2"/>
      <c r="E792" s="5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4"/>
      <c r="B793" s="2"/>
      <c r="C793" s="2"/>
      <c r="D793" s="2"/>
      <c r="E793" s="5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4"/>
      <c r="B794" s="2"/>
      <c r="C794" s="2"/>
      <c r="D794" s="2"/>
      <c r="E794" s="5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4"/>
      <c r="B795" s="2"/>
      <c r="C795" s="2"/>
      <c r="D795" s="2"/>
      <c r="E795" s="5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4"/>
      <c r="B796" s="2"/>
      <c r="C796" s="2"/>
      <c r="D796" s="2"/>
      <c r="E796" s="5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4"/>
      <c r="B797" s="2"/>
      <c r="C797" s="2"/>
      <c r="D797" s="2"/>
      <c r="E797" s="5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4"/>
      <c r="B798" s="2"/>
      <c r="C798" s="2"/>
      <c r="D798" s="2"/>
      <c r="E798" s="5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4"/>
      <c r="B799" s="2"/>
      <c r="C799" s="2"/>
      <c r="D799" s="2"/>
      <c r="E799" s="5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4"/>
      <c r="B800" s="2"/>
      <c r="C800" s="2"/>
      <c r="D800" s="2"/>
      <c r="E800" s="5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4"/>
      <c r="B801" s="2"/>
      <c r="C801" s="2"/>
      <c r="D801" s="2"/>
      <c r="E801" s="5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4"/>
      <c r="B802" s="2"/>
      <c r="C802" s="2"/>
      <c r="D802" s="2"/>
      <c r="E802" s="5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4"/>
      <c r="B803" s="2"/>
      <c r="C803" s="2"/>
      <c r="D803" s="2"/>
      <c r="E803" s="5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4"/>
      <c r="B804" s="2"/>
      <c r="C804" s="2"/>
      <c r="D804" s="2"/>
      <c r="E804" s="5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4"/>
      <c r="B805" s="2"/>
      <c r="C805" s="2"/>
      <c r="D805" s="2"/>
      <c r="E805" s="5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4"/>
      <c r="B806" s="2"/>
      <c r="C806" s="2"/>
      <c r="D806" s="2"/>
      <c r="E806" s="5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4"/>
      <c r="B807" s="2"/>
      <c r="C807" s="2"/>
      <c r="D807" s="2"/>
      <c r="E807" s="5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4"/>
      <c r="B808" s="2"/>
      <c r="C808" s="2"/>
      <c r="D808" s="2"/>
      <c r="E808" s="5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4"/>
      <c r="B809" s="2"/>
      <c r="C809" s="2"/>
      <c r="D809" s="2"/>
      <c r="E809" s="5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4"/>
      <c r="B810" s="2"/>
      <c r="C810" s="2"/>
      <c r="D810" s="2"/>
      <c r="E810" s="5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4"/>
      <c r="B811" s="2"/>
      <c r="C811" s="2"/>
      <c r="D811" s="2"/>
      <c r="E811" s="5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4"/>
      <c r="B812" s="2"/>
      <c r="C812" s="2"/>
      <c r="D812" s="2"/>
      <c r="E812" s="5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4"/>
      <c r="B813" s="2"/>
      <c r="C813" s="2"/>
      <c r="D813" s="2"/>
      <c r="E813" s="5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4"/>
      <c r="B814" s="2"/>
      <c r="C814" s="2"/>
      <c r="D814" s="2"/>
      <c r="E814" s="5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4"/>
      <c r="B815" s="2"/>
      <c r="C815" s="2"/>
      <c r="D815" s="2"/>
      <c r="E815" s="5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4"/>
      <c r="B816" s="2"/>
      <c r="C816" s="2"/>
      <c r="D816" s="2"/>
      <c r="E816" s="5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4"/>
      <c r="B817" s="2"/>
      <c r="C817" s="2"/>
      <c r="D817" s="2"/>
      <c r="E817" s="5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4"/>
      <c r="B818" s="2"/>
      <c r="C818" s="2"/>
      <c r="D818" s="2"/>
      <c r="E818" s="5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4"/>
      <c r="B819" s="2"/>
      <c r="C819" s="2"/>
      <c r="D819" s="2"/>
      <c r="E819" s="5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4"/>
      <c r="B820" s="2"/>
      <c r="C820" s="2"/>
      <c r="D820" s="2"/>
      <c r="E820" s="5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4"/>
      <c r="B821" s="2"/>
      <c r="C821" s="2"/>
      <c r="D821" s="2"/>
      <c r="E821" s="5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4"/>
      <c r="B822" s="2"/>
      <c r="C822" s="2"/>
      <c r="D822" s="2"/>
      <c r="E822" s="5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4"/>
      <c r="B823" s="2"/>
      <c r="C823" s="2"/>
      <c r="D823" s="2"/>
      <c r="E823" s="5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4"/>
      <c r="B824" s="2"/>
      <c r="C824" s="2"/>
      <c r="D824" s="2"/>
      <c r="E824" s="5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4"/>
      <c r="B825" s="2"/>
      <c r="C825" s="2"/>
      <c r="D825" s="2"/>
      <c r="E825" s="5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4"/>
      <c r="B826" s="2"/>
      <c r="C826" s="2"/>
      <c r="D826" s="2"/>
      <c r="E826" s="5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4"/>
      <c r="B827" s="2"/>
      <c r="C827" s="2"/>
      <c r="D827" s="2"/>
      <c r="E827" s="5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4"/>
      <c r="B828" s="2"/>
      <c r="C828" s="2"/>
      <c r="D828" s="2"/>
      <c r="E828" s="5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4"/>
      <c r="B829" s="2"/>
      <c r="C829" s="2"/>
      <c r="D829" s="2"/>
      <c r="E829" s="5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4"/>
      <c r="B830" s="2"/>
      <c r="C830" s="2"/>
      <c r="D830" s="2"/>
      <c r="E830" s="5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4"/>
      <c r="B831" s="2"/>
      <c r="C831" s="2"/>
      <c r="D831" s="2"/>
      <c r="E831" s="5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4"/>
      <c r="B832" s="2"/>
      <c r="C832" s="2"/>
      <c r="D832" s="2"/>
      <c r="E832" s="5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4"/>
      <c r="B833" s="2"/>
      <c r="C833" s="2"/>
      <c r="D833" s="2"/>
      <c r="E833" s="5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4"/>
      <c r="B834" s="2"/>
      <c r="C834" s="2"/>
      <c r="D834" s="2"/>
      <c r="E834" s="5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4"/>
      <c r="B835" s="2"/>
      <c r="C835" s="2"/>
      <c r="D835" s="2"/>
      <c r="E835" s="5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4"/>
      <c r="B836" s="2"/>
      <c r="C836" s="2"/>
      <c r="D836" s="2"/>
      <c r="E836" s="5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4"/>
      <c r="B837" s="2"/>
      <c r="C837" s="2"/>
      <c r="D837" s="2"/>
      <c r="E837" s="5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4"/>
      <c r="B838" s="2"/>
      <c r="C838" s="2"/>
      <c r="D838" s="2"/>
      <c r="E838" s="5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4"/>
      <c r="B839" s="2"/>
      <c r="C839" s="2"/>
      <c r="D839" s="2"/>
      <c r="E839" s="5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4"/>
      <c r="B840" s="2"/>
      <c r="C840" s="2"/>
      <c r="D840" s="2"/>
      <c r="E840" s="5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4"/>
      <c r="B841" s="2"/>
      <c r="C841" s="2"/>
      <c r="D841" s="2"/>
      <c r="E841" s="5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4"/>
      <c r="B842" s="2"/>
      <c r="C842" s="2"/>
      <c r="D842" s="2"/>
      <c r="E842" s="5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4"/>
      <c r="B843" s="2"/>
      <c r="C843" s="2"/>
      <c r="D843" s="2"/>
      <c r="E843" s="5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4"/>
      <c r="B844" s="2"/>
      <c r="C844" s="2"/>
      <c r="D844" s="2"/>
      <c r="E844" s="5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4"/>
      <c r="B845" s="2"/>
      <c r="C845" s="2"/>
      <c r="D845" s="2"/>
      <c r="E845" s="5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4"/>
      <c r="B846" s="2"/>
      <c r="C846" s="2"/>
      <c r="D846" s="2"/>
      <c r="E846" s="5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4"/>
      <c r="B847" s="2"/>
      <c r="C847" s="2"/>
      <c r="D847" s="2"/>
      <c r="E847" s="5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4"/>
      <c r="B848" s="2"/>
      <c r="C848" s="2"/>
      <c r="D848" s="2"/>
      <c r="E848" s="5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4"/>
      <c r="B849" s="2"/>
      <c r="C849" s="2"/>
      <c r="D849" s="2"/>
      <c r="E849" s="5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4"/>
      <c r="B850" s="2"/>
      <c r="C850" s="2"/>
      <c r="D850" s="2"/>
      <c r="E850" s="5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4"/>
      <c r="B851" s="2"/>
      <c r="C851" s="2"/>
      <c r="D851" s="2"/>
      <c r="E851" s="5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4"/>
      <c r="B852" s="2"/>
      <c r="C852" s="2"/>
      <c r="D852" s="2"/>
      <c r="E852" s="5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4"/>
      <c r="B853" s="2"/>
      <c r="C853" s="2"/>
      <c r="D853" s="2"/>
      <c r="E853" s="5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4"/>
      <c r="B854" s="2"/>
      <c r="C854" s="2"/>
      <c r="D854" s="2"/>
      <c r="E854" s="5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4"/>
      <c r="B855" s="2"/>
      <c r="C855" s="2"/>
      <c r="D855" s="2"/>
      <c r="E855" s="5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4"/>
      <c r="B856" s="2"/>
      <c r="C856" s="2"/>
      <c r="D856" s="2"/>
      <c r="E856" s="5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4"/>
      <c r="B857" s="2"/>
      <c r="C857" s="2"/>
      <c r="D857" s="2"/>
      <c r="E857" s="5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4"/>
      <c r="B858" s="2"/>
      <c r="C858" s="2"/>
      <c r="D858" s="2"/>
      <c r="E858" s="5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4"/>
      <c r="B859" s="2"/>
      <c r="C859" s="2"/>
      <c r="D859" s="2"/>
      <c r="E859" s="5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4"/>
      <c r="B860" s="2"/>
      <c r="C860" s="2"/>
      <c r="D860" s="2"/>
      <c r="E860" s="5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4"/>
      <c r="B861" s="2"/>
      <c r="C861" s="2"/>
      <c r="D861" s="2"/>
      <c r="E861" s="5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4"/>
      <c r="B862" s="2"/>
      <c r="C862" s="2"/>
      <c r="D862" s="2"/>
      <c r="E862" s="5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4"/>
      <c r="B863" s="2"/>
      <c r="C863" s="2"/>
      <c r="D863" s="2"/>
      <c r="E863" s="5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4"/>
      <c r="B864" s="2"/>
      <c r="C864" s="2"/>
      <c r="D864" s="2"/>
      <c r="E864" s="5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4"/>
      <c r="B865" s="2"/>
      <c r="C865" s="2"/>
      <c r="D865" s="2"/>
      <c r="E865" s="5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4"/>
      <c r="B866" s="2"/>
      <c r="C866" s="2"/>
      <c r="D866" s="2"/>
      <c r="E866" s="5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4"/>
      <c r="B867" s="2"/>
      <c r="C867" s="2"/>
      <c r="D867" s="2"/>
      <c r="E867" s="5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4"/>
      <c r="B868" s="2"/>
      <c r="C868" s="2"/>
      <c r="D868" s="2"/>
      <c r="E868" s="5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4"/>
      <c r="B869" s="2"/>
      <c r="C869" s="2"/>
      <c r="D869" s="2"/>
      <c r="E869" s="5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4"/>
      <c r="B870" s="2"/>
      <c r="C870" s="2"/>
      <c r="D870" s="2"/>
      <c r="E870" s="5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4"/>
      <c r="B871" s="2"/>
      <c r="C871" s="2"/>
      <c r="D871" s="2"/>
      <c r="E871" s="5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4"/>
      <c r="B872" s="2"/>
      <c r="C872" s="2"/>
      <c r="D872" s="2"/>
      <c r="E872" s="5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4"/>
      <c r="B873" s="2"/>
      <c r="C873" s="2"/>
      <c r="D873" s="2"/>
      <c r="E873" s="5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4"/>
      <c r="B874" s="2"/>
      <c r="C874" s="2"/>
      <c r="D874" s="2"/>
      <c r="E874" s="5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4"/>
      <c r="B875" s="2"/>
      <c r="C875" s="2"/>
      <c r="D875" s="2"/>
      <c r="E875" s="5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4"/>
      <c r="B876" s="2"/>
      <c r="C876" s="2"/>
      <c r="D876" s="2"/>
      <c r="E876" s="5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4"/>
      <c r="B877" s="2"/>
      <c r="C877" s="2"/>
      <c r="D877" s="2"/>
      <c r="E877" s="5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4"/>
      <c r="B878" s="2"/>
      <c r="C878" s="2"/>
      <c r="D878" s="2"/>
      <c r="E878" s="5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4"/>
      <c r="B879" s="2"/>
      <c r="C879" s="2"/>
      <c r="D879" s="2"/>
      <c r="E879" s="5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4"/>
      <c r="B880" s="2"/>
      <c r="C880" s="2"/>
      <c r="D880" s="2"/>
      <c r="E880" s="5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4"/>
      <c r="B881" s="2"/>
      <c r="C881" s="2"/>
      <c r="D881" s="2"/>
      <c r="E881" s="5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4"/>
      <c r="B882" s="2"/>
      <c r="C882" s="2"/>
      <c r="D882" s="2"/>
      <c r="E882" s="5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4"/>
      <c r="B883" s="2"/>
      <c r="C883" s="2"/>
      <c r="D883" s="2"/>
      <c r="E883" s="5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4"/>
      <c r="B884" s="2"/>
      <c r="C884" s="2"/>
      <c r="D884" s="2"/>
      <c r="E884" s="5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4"/>
      <c r="B885" s="2"/>
      <c r="C885" s="2"/>
      <c r="D885" s="2"/>
      <c r="E885" s="5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4"/>
      <c r="B886" s="2"/>
      <c r="C886" s="2"/>
      <c r="D886" s="2"/>
      <c r="E886" s="5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4"/>
      <c r="B887" s="2"/>
      <c r="C887" s="2"/>
      <c r="D887" s="2"/>
      <c r="E887" s="5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4"/>
      <c r="B888" s="2"/>
      <c r="C888" s="2"/>
      <c r="D888" s="2"/>
      <c r="E888" s="5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4"/>
      <c r="B889" s="2"/>
      <c r="C889" s="2"/>
      <c r="D889" s="2"/>
      <c r="E889" s="5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4"/>
      <c r="B890" s="2"/>
      <c r="C890" s="2"/>
      <c r="D890" s="2"/>
      <c r="E890" s="5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4"/>
      <c r="B891" s="2"/>
      <c r="C891" s="2"/>
      <c r="D891" s="2"/>
      <c r="E891" s="5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4"/>
      <c r="B892" s="2"/>
      <c r="C892" s="2"/>
      <c r="D892" s="2"/>
      <c r="E892" s="5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4"/>
      <c r="B893" s="2"/>
      <c r="C893" s="2"/>
      <c r="D893" s="2"/>
      <c r="E893" s="5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4"/>
      <c r="B894" s="2"/>
      <c r="C894" s="2"/>
      <c r="D894" s="2"/>
      <c r="E894" s="5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4"/>
      <c r="B895" s="2"/>
      <c r="C895" s="2"/>
      <c r="D895" s="2"/>
      <c r="E895" s="5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4"/>
      <c r="B896" s="2"/>
      <c r="C896" s="2"/>
      <c r="D896" s="2"/>
      <c r="E896" s="5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4"/>
      <c r="B897" s="2"/>
      <c r="C897" s="2"/>
      <c r="D897" s="2"/>
      <c r="E897" s="5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4"/>
      <c r="B898" s="2"/>
      <c r="C898" s="2"/>
      <c r="D898" s="2"/>
      <c r="E898" s="5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4"/>
      <c r="B899" s="2"/>
      <c r="C899" s="2"/>
      <c r="D899" s="2"/>
      <c r="E899" s="5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4"/>
      <c r="B900" s="2"/>
      <c r="C900" s="2"/>
      <c r="D900" s="2"/>
      <c r="E900" s="5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4"/>
      <c r="B901" s="2"/>
      <c r="C901" s="2"/>
      <c r="D901" s="2"/>
      <c r="E901" s="5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4"/>
      <c r="B902" s="2"/>
      <c r="C902" s="2"/>
      <c r="D902" s="2"/>
      <c r="E902" s="5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4"/>
      <c r="B903" s="2"/>
      <c r="C903" s="2"/>
      <c r="D903" s="2"/>
      <c r="E903" s="5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4"/>
      <c r="B904" s="2"/>
      <c r="C904" s="2"/>
      <c r="D904" s="2"/>
      <c r="E904" s="5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4"/>
      <c r="B905" s="2"/>
      <c r="C905" s="2"/>
      <c r="D905" s="2"/>
      <c r="E905" s="5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4"/>
      <c r="B906" s="2"/>
      <c r="C906" s="2"/>
      <c r="D906" s="2"/>
      <c r="E906" s="5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4"/>
      <c r="B907" s="2"/>
      <c r="C907" s="2"/>
      <c r="D907" s="2"/>
      <c r="E907" s="5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4"/>
      <c r="B908" s="2"/>
      <c r="C908" s="2"/>
      <c r="D908" s="2"/>
      <c r="E908" s="5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4"/>
      <c r="B909" s="2"/>
      <c r="C909" s="2"/>
      <c r="D909" s="2"/>
      <c r="E909" s="5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4"/>
      <c r="B910" s="2"/>
      <c r="C910" s="2"/>
      <c r="D910" s="2"/>
      <c r="E910" s="5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4"/>
      <c r="B911" s="2"/>
      <c r="C911" s="2"/>
      <c r="D911" s="2"/>
      <c r="E911" s="5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4"/>
      <c r="B912" s="2"/>
      <c r="C912" s="2"/>
      <c r="D912" s="2"/>
      <c r="E912" s="5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4"/>
      <c r="B913" s="2"/>
      <c r="C913" s="2"/>
      <c r="D913" s="2"/>
      <c r="E913" s="5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4"/>
      <c r="B914" s="2"/>
      <c r="C914" s="2"/>
      <c r="D914" s="2"/>
      <c r="E914" s="5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4"/>
      <c r="B915" s="2"/>
      <c r="C915" s="2"/>
      <c r="D915" s="2"/>
      <c r="E915" s="5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4"/>
      <c r="B916" s="2"/>
      <c r="C916" s="2"/>
      <c r="D916" s="2"/>
      <c r="E916" s="5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4"/>
      <c r="B917" s="2"/>
      <c r="C917" s="2"/>
      <c r="D917" s="2"/>
      <c r="E917" s="5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4"/>
      <c r="B918" s="2"/>
      <c r="C918" s="2"/>
      <c r="D918" s="2"/>
      <c r="E918" s="5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4"/>
      <c r="B919" s="2"/>
      <c r="C919" s="2"/>
      <c r="D919" s="2"/>
      <c r="E919" s="5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4"/>
      <c r="B920" s="2"/>
      <c r="C920" s="2"/>
      <c r="D920" s="2"/>
      <c r="E920" s="5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4"/>
      <c r="B921" s="2"/>
      <c r="C921" s="2"/>
      <c r="D921" s="2"/>
      <c r="E921" s="5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4"/>
      <c r="B922" s="2"/>
      <c r="C922" s="2"/>
      <c r="D922" s="2"/>
      <c r="E922" s="5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4"/>
      <c r="B923" s="2"/>
      <c r="C923" s="2"/>
      <c r="D923" s="2"/>
      <c r="E923" s="5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4"/>
      <c r="B924" s="2"/>
      <c r="C924" s="2"/>
      <c r="D924" s="2"/>
      <c r="E924" s="5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4"/>
      <c r="B925" s="2"/>
      <c r="C925" s="2"/>
      <c r="D925" s="2"/>
      <c r="E925" s="5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4"/>
      <c r="B926" s="2"/>
      <c r="C926" s="2"/>
      <c r="D926" s="2"/>
      <c r="E926" s="5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4"/>
      <c r="B927" s="2"/>
      <c r="C927" s="2"/>
      <c r="D927" s="2"/>
      <c r="E927" s="5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4"/>
      <c r="B928" s="2"/>
      <c r="C928" s="2"/>
      <c r="D928" s="2"/>
      <c r="E928" s="5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4"/>
      <c r="B929" s="2"/>
      <c r="C929" s="2"/>
      <c r="D929" s="2"/>
      <c r="E929" s="5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4"/>
      <c r="B930" s="2"/>
      <c r="C930" s="2"/>
      <c r="D930" s="2"/>
      <c r="E930" s="5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4"/>
      <c r="B931" s="2"/>
      <c r="C931" s="2"/>
      <c r="D931" s="2"/>
      <c r="E931" s="5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4"/>
      <c r="B932" s="2"/>
      <c r="C932" s="2"/>
      <c r="D932" s="2"/>
      <c r="E932" s="5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4"/>
      <c r="B933" s="2"/>
      <c r="C933" s="2"/>
      <c r="D933" s="2"/>
      <c r="E933" s="5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4"/>
      <c r="B934" s="2"/>
      <c r="C934" s="2"/>
      <c r="D934" s="2"/>
      <c r="E934" s="5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4"/>
      <c r="B935" s="2"/>
      <c r="C935" s="2"/>
      <c r="D935" s="2"/>
      <c r="E935" s="5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4"/>
      <c r="B936" s="2"/>
      <c r="C936" s="2"/>
      <c r="D936" s="2"/>
      <c r="E936" s="5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4"/>
      <c r="B937" s="2"/>
      <c r="C937" s="2"/>
      <c r="D937" s="2"/>
      <c r="E937" s="5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4"/>
      <c r="B938" s="2"/>
      <c r="C938" s="2"/>
      <c r="D938" s="2"/>
      <c r="E938" s="5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4"/>
      <c r="B939" s="2"/>
      <c r="C939" s="2"/>
      <c r="D939" s="2"/>
      <c r="E939" s="5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4"/>
      <c r="B940" s="2"/>
      <c r="C940" s="2"/>
      <c r="D940" s="2"/>
      <c r="E940" s="5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4"/>
      <c r="B941" s="2"/>
      <c r="C941" s="2"/>
      <c r="D941" s="2"/>
      <c r="E941" s="5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4"/>
      <c r="B942" s="2"/>
      <c r="C942" s="2"/>
      <c r="D942" s="2"/>
      <c r="E942" s="5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4"/>
      <c r="B943" s="2"/>
      <c r="C943" s="2"/>
      <c r="D943" s="2"/>
      <c r="E943" s="5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4"/>
      <c r="B944" s="2"/>
      <c r="C944" s="2"/>
      <c r="D944" s="2"/>
      <c r="E944" s="5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4"/>
      <c r="B945" s="2"/>
      <c r="C945" s="2"/>
      <c r="D945" s="2"/>
      <c r="E945" s="5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4"/>
      <c r="B946" s="2"/>
      <c r="C946" s="2"/>
      <c r="D946" s="2"/>
      <c r="E946" s="5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4"/>
      <c r="B947" s="2"/>
      <c r="C947" s="2"/>
      <c r="D947" s="2"/>
      <c r="E947" s="5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4"/>
      <c r="B948" s="2"/>
      <c r="C948" s="2"/>
      <c r="D948" s="2"/>
      <c r="E948" s="5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4"/>
      <c r="B949" s="2"/>
      <c r="C949" s="2"/>
      <c r="D949" s="2"/>
      <c r="E949" s="5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4"/>
      <c r="B950" s="2"/>
      <c r="C950" s="2"/>
      <c r="D950" s="2"/>
      <c r="E950" s="5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4"/>
      <c r="B951" s="2"/>
      <c r="C951" s="2"/>
      <c r="D951" s="2"/>
      <c r="E951" s="5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4"/>
      <c r="B952" s="2"/>
      <c r="C952" s="2"/>
      <c r="D952" s="2"/>
      <c r="E952" s="5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4"/>
      <c r="B953" s="2"/>
      <c r="C953" s="2"/>
      <c r="D953" s="2"/>
      <c r="E953" s="5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4"/>
      <c r="B954" s="2"/>
      <c r="C954" s="2"/>
      <c r="D954" s="2"/>
      <c r="E954" s="5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4"/>
      <c r="B955" s="2"/>
      <c r="C955" s="2"/>
      <c r="D955" s="2"/>
      <c r="E955" s="5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4"/>
      <c r="B956" s="2"/>
      <c r="C956" s="2"/>
      <c r="D956" s="2"/>
      <c r="E956" s="5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4"/>
      <c r="B957" s="2"/>
      <c r="C957" s="2"/>
      <c r="D957" s="2"/>
      <c r="E957" s="5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4"/>
      <c r="B958" s="2"/>
      <c r="C958" s="2"/>
      <c r="D958" s="2"/>
      <c r="E958" s="5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4"/>
      <c r="B959" s="2"/>
      <c r="C959" s="2"/>
      <c r="D959" s="2"/>
      <c r="E959" s="5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4"/>
      <c r="B960" s="2"/>
      <c r="C960" s="2"/>
      <c r="D960" s="2"/>
      <c r="E960" s="5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4"/>
      <c r="B961" s="2"/>
      <c r="C961" s="2"/>
      <c r="D961" s="2"/>
      <c r="E961" s="5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4"/>
      <c r="B962" s="2"/>
      <c r="C962" s="2"/>
      <c r="D962" s="2"/>
      <c r="E962" s="5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4"/>
      <c r="B963" s="2"/>
      <c r="C963" s="2"/>
      <c r="D963" s="2"/>
      <c r="E963" s="5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4"/>
      <c r="B964" s="2"/>
      <c r="C964" s="2"/>
      <c r="D964" s="2"/>
      <c r="E964" s="5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4"/>
      <c r="B965" s="2"/>
      <c r="C965" s="2"/>
      <c r="D965" s="2"/>
      <c r="E965" s="5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4"/>
      <c r="B966" s="2"/>
      <c r="C966" s="2"/>
      <c r="D966" s="2"/>
      <c r="E966" s="5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4"/>
      <c r="B967" s="2"/>
      <c r="C967" s="2"/>
      <c r="D967" s="2"/>
      <c r="E967" s="5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4"/>
      <c r="B968" s="2"/>
      <c r="C968" s="2"/>
      <c r="D968" s="2"/>
      <c r="E968" s="5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4"/>
      <c r="B969" s="2"/>
      <c r="C969" s="2"/>
      <c r="D969" s="2"/>
      <c r="E969" s="5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4"/>
      <c r="B970" s="2"/>
      <c r="C970" s="2"/>
      <c r="D970" s="2"/>
      <c r="E970" s="5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4"/>
      <c r="B971" s="2"/>
      <c r="C971" s="2"/>
      <c r="D971" s="2"/>
      <c r="E971" s="5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4"/>
      <c r="B972" s="2"/>
      <c r="C972" s="2"/>
      <c r="D972" s="2"/>
      <c r="E972" s="5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4"/>
      <c r="B973" s="2"/>
      <c r="C973" s="2"/>
      <c r="D973" s="2"/>
      <c r="E973" s="5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4"/>
      <c r="B974" s="2"/>
      <c r="C974" s="2"/>
      <c r="D974" s="2"/>
      <c r="E974" s="5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4"/>
      <c r="B975" s="2"/>
      <c r="C975" s="2"/>
      <c r="D975" s="2"/>
      <c r="E975" s="5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4"/>
      <c r="B976" s="2"/>
      <c r="C976" s="2"/>
      <c r="D976" s="2"/>
      <c r="E976" s="5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4"/>
      <c r="B977" s="2"/>
      <c r="C977" s="2"/>
      <c r="D977" s="2"/>
      <c r="E977" s="5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4"/>
      <c r="B978" s="2"/>
      <c r="C978" s="2"/>
      <c r="D978" s="2"/>
      <c r="E978" s="5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4"/>
      <c r="B979" s="2"/>
      <c r="C979" s="2"/>
      <c r="D979" s="2"/>
      <c r="E979" s="5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4"/>
      <c r="B980" s="2"/>
      <c r="C980" s="2"/>
      <c r="D980" s="2"/>
      <c r="E980" s="5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4"/>
      <c r="B981" s="2"/>
      <c r="C981" s="2"/>
      <c r="D981" s="2"/>
      <c r="E981" s="5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4"/>
      <c r="B982" s="2"/>
      <c r="C982" s="2"/>
      <c r="D982" s="2"/>
      <c r="E982" s="5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4"/>
      <c r="B983" s="2"/>
      <c r="C983" s="2"/>
      <c r="D983" s="2"/>
      <c r="E983" s="5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4"/>
      <c r="B984" s="2"/>
      <c r="C984" s="2"/>
      <c r="D984" s="2"/>
      <c r="E984" s="5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4"/>
      <c r="B985" s="2"/>
      <c r="C985" s="2"/>
      <c r="D985" s="2"/>
      <c r="E985" s="5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4"/>
      <c r="B986" s="2"/>
      <c r="C986" s="2"/>
      <c r="D986" s="2"/>
      <c r="E986" s="5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4"/>
      <c r="B987" s="2"/>
      <c r="C987" s="2"/>
      <c r="D987" s="2"/>
      <c r="E987" s="5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4"/>
      <c r="B988" s="2"/>
      <c r="C988" s="2"/>
      <c r="D988" s="2"/>
      <c r="E988" s="5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4"/>
      <c r="B989" s="2"/>
      <c r="C989" s="2"/>
      <c r="D989" s="2"/>
      <c r="E989" s="5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4"/>
      <c r="B990" s="2"/>
      <c r="C990" s="2"/>
      <c r="D990" s="2"/>
      <c r="E990" s="5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4"/>
      <c r="B991" s="2"/>
      <c r="C991" s="2"/>
      <c r="D991" s="2"/>
      <c r="E991" s="5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4"/>
      <c r="B992" s="2"/>
      <c r="C992" s="2"/>
      <c r="D992" s="2"/>
      <c r="E992" s="5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4"/>
      <c r="B993" s="2"/>
      <c r="C993" s="2"/>
      <c r="D993" s="2"/>
      <c r="E993" s="5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4"/>
      <c r="B994" s="2"/>
      <c r="C994" s="2"/>
      <c r="D994" s="2"/>
      <c r="E994" s="5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4"/>
      <c r="B995" s="2"/>
      <c r="C995" s="2"/>
      <c r="D995" s="2"/>
      <c r="E995" s="5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4"/>
      <c r="B996" s="2"/>
      <c r="C996" s="2"/>
      <c r="D996" s="2"/>
      <c r="E996" s="5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4"/>
      <c r="B997" s="2"/>
      <c r="C997" s="2"/>
      <c r="D997" s="2"/>
      <c r="E997" s="5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4"/>
      <c r="B998" s="2"/>
      <c r="C998" s="2"/>
      <c r="D998" s="2"/>
      <c r="E998" s="5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4"/>
      <c r="B999" s="2"/>
      <c r="C999" s="2"/>
      <c r="D999" s="2"/>
      <c r="E999" s="5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4"/>
      <c r="B1000" s="2"/>
      <c r="C1000" s="2"/>
      <c r="D1000" s="2"/>
      <c r="E1000" s="5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4"/>
      <c r="B1001" s="2"/>
      <c r="C1001" s="2"/>
      <c r="D1001" s="2"/>
      <c r="E1001" s="5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4"/>
      <c r="B1002" s="2"/>
      <c r="C1002" s="2"/>
      <c r="D1002" s="2"/>
      <c r="E1002" s="5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4"/>
      <c r="B1003" s="2"/>
      <c r="C1003" s="2"/>
      <c r="D1003" s="2"/>
      <c r="E1003" s="5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4"/>
      <c r="B1004" s="2"/>
      <c r="C1004" s="2"/>
      <c r="D1004" s="2"/>
      <c r="E1004" s="5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4"/>
      <c r="B1005" s="2"/>
      <c r="C1005" s="2"/>
      <c r="D1005" s="2"/>
      <c r="E1005" s="5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4"/>
      <c r="B1006" s="2"/>
      <c r="C1006" s="2"/>
      <c r="D1006" s="2"/>
      <c r="E1006" s="5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4"/>
      <c r="B1007" s="2"/>
      <c r="C1007" s="2"/>
      <c r="D1007" s="2"/>
      <c r="E1007" s="5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4"/>
      <c r="B1008" s="2"/>
      <c r="C1008" s="2"/>
      <c r="D1008" s="2"/>
      <c r="E1008" s="5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4"/>
      <c r="B1009" s="2"/>
      <c r="C1009" s="2"/>
      <c r="D1009" s="2"/>
      <c r="E1009" s="5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4"/>
      <c r="B1010" s="2"/>
      <c r="C1010" s="2"/>
      <c r="D1010" s="2"/>
      <c r="E1010" s="5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4"/>
      <c r="B1011" s="2"/>
      <c r="C1011" s="2"/>
      <c r="D1011" s="2"/>
      <c r="E1011" s="5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4"/>
      <c r="B1012" s="2"/>
      <c r="C1012" s="2"/>
      <c r="D1012" s="2"/>
      <c r="E1012" s="5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4"/>
      <c r="B1013" s="2"/>
      <c r="C1013" s="2"/>
      <c r="D1013" s="2"/>
      <c r="E1013" s="5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4"/>
      <c r="B1014" s="2"/>
      <c r="C1014" s="2"/>
      <c r="D1014" s="2"/>
      <c r="E1014" s="5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4"/>
      <c r="B1015" s="2"/>
      <c r="C1015" s="2"/>
      <c r="D1015" s="2"/>
      <c r="E1015" s="5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4"/>
      <c r="B1016" s="2"/>
      <c r="C1016" s="2"/>
      <c r="D1016" s="2"/>
      <c r="E1016" s="5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4"/>
      <c r="B1017" s="2"/>
      <c r="C1017" s="2"/>
      <c r="D1017" s="2"/>
      <c r="E1017" s="5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4"/>
      <c r="B1018" s="2"/>
      <c r="C1018" s="2"/>
      <c r="D1018" s="2"/>
      <c r="E1018" s="5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4"/>
      <c r="B1019" s="2"/>
      <c r="C1019" s="2"/>
      <c r="D1019" s="2"/>
      <c r="E1019" s="5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4"/>
      <c r="B1020" s="2"/>
      <c r="C1020" s="2"/>
      <c r="D1020" s="2"/>
      <c r="E1020" s="5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4"/>
      <c r="B1021" s="2"/>
      <c r="C1021" s="2"/>
      <c r="D1021" s="2"/>
      <c r="E1021" s="5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4"/>
      <c r="B1022" s="2"/>
      <c r="C1022" s="2"/>
      <c r="D1022" s="2"/>
      <c r="E1022" s="5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4"/>
      <c r="B1023" s="2"/>
      <c r="C1023" s="2"/>
      <c r="D1023" s="2"/>
      <c r="E1023" s="5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4"/>
      <c r="B1024" s="2"/>
      <c r="C1024" s="2"/>
      <c r="D1024" s="2"/>
      <c r="E1024" s="5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4"/>
      <c r="B1025" s="2"/>
      <c r="C1025" s="2"/>
      <c r="D1025" s="2"/>
      <c r="E1025" s="5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4"/>
      <c r="B1026" s="2"/>
      <c r="C1026" s="2"/>
      <c r="D1026" s="2"/>
      <c r="E1026" s="5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4"/>
      <c r="B1027" s="2"/>
      <c r="C1027" s="2"/>
      <c r="D1027" s="2"/>
      <c r="E1027" s="5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4"/>
      <c r="B1028" s="2"/>
      <c r="C1028" s="2"/>
      <c r="D1028" s="2"/>
      <c r="E1028" s="5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4"/>
      <c r="B1029" s="2"/>
      <c r="C1029" s="2"/>
      <c r="D1029" s="2"/>
      <c r="E1029" s="5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4"/>
      <c r="B1030" s="2"/>
      <c r="C1030" s="2"/>
      <c r="D1030" s="2"/>
      <c r="E1030" s="5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4"/>
      <c r="B1031" s="2"/>
      <c r="C1031" s="2"/>
      <c r="D1031" s="2"/>
      <c r="E1031" s="5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4"/>
      <c r="B1032" s="2"/>
      <c r="C1032" s="2"/>
      <c r="D1032" s="2"/>
      <c r="E1032" s="5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4"/>
      <c r="B1033" s="2"/>
      <c r="C1033" s="2"/>
      <c r="D1033" s="2"/>
      <c r="E1033" s="5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4"/>
      <c r="B1034" s="2"/>
      <c r="C1034" s="2"/>
      <c r="D1034" s="2"/>
      <c r="E1034" s="5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4"/>
      <c r="B1035" s="2"/>
      <c r="C1035" s="2"/>
      <c r="D1035" s="2"/>
      <c r="E1035" s="5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4"/>
      <c r="B1036" s="2"/>
      <c r="C1036" s="2"/>
      <c r="D1036" s="2"/>
      <c r="E1036" s="5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4"/>
      <c r="B1037" s="2"/>
      <c r="C1037" s="2"/>
      <c r="D1037" s="2"/>
      <c r="E1037" s="5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4"/>
      <c r="B1038" s="2"/>
      <c r="C1038" s="2"/>
      <c r="D1038" s="2"/>
      <c r="E1038" s="5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4"/>
      <c r="B1039" s="2"/>
      <c r="C1039" s="2"/>
      <c r="D1039" s="2"/>
      <c r="E1039" s="5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4"/>
      <c r="B1040" s="2"/>
      <c r="C1040" s="2"/>
      <c r="D1040" s="2"/>
      <c r="E1040" s="5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4"/>
      <c r="B1041" s="2"/>
      <c r="C1041" s="2"/>
      <c r="D1041" s="2"/>
      <c r="E1041" s="5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4"/>
      <c r="B1042" s="2"/>
      <c r="C1042" s="2"/>
      <c r="D1042" s="2"/>
      <c r="E1042" s="5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4"/>
      <c r="B1043" s="2"/>
      <c r="C1043" s="2"/>
      <c r="D1043" s="2"/>
      <c r="E1043" s="5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4"/>
      <c r="B1044" s="2"/>
      <c r="C1044" s="2"/>
      <c r="D1044" s="2"/>
      <c r="E1044" s="5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4"/>
      <c r="B1045" s="2"/>
      <c r="C1045" s="2"/>
      <c r="D1045" s="2"/>
      <c r="E1045" s="5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4"/>
      <c r="B1046" s="2"/>
      <c r="C1046" s="2"/>
      <c r="D1046" s="2"/>
      <c r="E1046" s="5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4"/>
      <c r="B1047" s="2"/>
      <c r="C1047" s="2"/>
      <c r="D1047" s="2"/>
      <c r="E1047" s="5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4"/>
      <c r="B1048" s="2"/>
      <c r="C1048" s="2"/>
      <c r="D1048" s="2"/>
      <c r="E1048" s="5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4"/>
      <c r="B1049" s="2"/>
      <c r="C1049" s="2"/>
      <c r="D1049" s="2"/>
      <c r="E1049" s="5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4"/>
      <c r="B1050" s="2"/>
      <c r="C1050" s="2"/>
      <c r="D1050" s="2"/>
      <c r="E1050" s="5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4"/>
      <c r="B1051" s="2"/>
      <c r="C1051" s="2"/>
      <c r="D1051" s="2"/>
      <c r="E1051" s="5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4"/>
      <c r="B1052" s="2"/>
      <c r="C1052" s="2"/>
      <c r="D1052" s="2"/>
      <c r="E1052" s="5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4"/>
      <c r="B1053" s="2"/>
      <c r="C1053" s="2"/>
      <c r="D1053" s="2"/>
      <c r="E1053" s="5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4"/>
      <c r="B1054" s="2"/>
      <c r="C1054" s="2"/>
      <c r="D1054" s="2"/>
      <c r="E1054" s="5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4"/>
      <c r="B1055" s="2"/>
      <c r="C1055" s="2"/>
      <c r="D1055" s="2"/>
      <c r="E1055" s="5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4"/>
      <c r="B1056" s="2"/>
      <c r="C1056" s="2"/>
      <c r="D1056" s="2"/>
      <c r="E1056" s="5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4"/>
      <c r="B1057" s="2"/>
      <c r="C1057" s="2"/>
      <c r="D1057" s="2"/>
      <c r="E1057" s="5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4"/>
      <c r="B1058" s="2"/>
      <c r="C1058" s="2"/>
      <c r="D1058" s="2"/>
      <c r="E1058" s="5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4"/>
      <c r="B1059" s="2"/>
      <c r="C1059" s="2"/>
      <c r="D1059" s="2"/>
      <c r="E1059" s="5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4"/>
      <c r="B1060" s="2"/>
      <c r="C1060" s="2"/>
      <c r="D1060" s="2"/>
      <c r="E1060" s="5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4"/>
      <c r="B1061" s="2"/>
      <c r="C1061" s="2"/>
      <c r="D1061" s="2"/>
      <c r="E1061" s="5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4"/>
      <c r="B1062" s="2"/>
      <c r="C1062" s="2"/>
      <c r="D1062" s="2"/>
      <c r="E1062" s="5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4"/>
      <c r="B1063" s="2"/>
      <c r="C1063" s="2"/>
      <c r="D1063" s="2"/>
      <c r="E1063" s="5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4"/>
      <c r="B1064" s="2"/>
      <c r="C1064" s="2"/>
      <c r="D1064" s="2"/>
      <c r="E1064" s="5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4"/>
      <c r="B1065" s="2"/>
      <c r="C1065" s="2"/>
      <c r="D1065" s="2"/>
      <c r="E1065" s="5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4"/>
      <c r="B1066" s="2"/>
      <c r="C1066" s="2"/>
      <c r="D1066" s="2"/>
      <c r="E1066" s="5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4"/>
      <c r="B1067" s="2"/>
      <c r="C1067" s="2"/>
      <c r="D1067" s="2"/>
      <c r="E1067" s="5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4"/>
      <c r="B1068" s="2"/>
      <c r="C1068" s="2"/>
      <c r="D1068" s="2"/>
      <c r="E1068" s="5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4"/>
      <c r="B1069" s="2"/>
      <c r="C1069" s="2"/>
      <c r="D1069" s="2"/>
      <c r="E1069" s="5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4"/>
      <c r="B1070" s="2"/>
      <c r="C1070" s="2"/>
      <c r="D1070" s="2"/>
      <c r="E1070" s="5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4"/>
      <c r="B1071" s="2"/>
      <c r="C1071" s="2"/>
      <c r="D1071" s="2"/>
      <c r="E1071" s="5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4"/>
      <c r="B1072" s="2"/>
      <c r="C1072" s="2"/>
      <c r="D1072" s="2"/>
      <c r="E1072" s="5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4"/>
      <c r="B1073" s="2"/>
      <c r="C1073" s="2"/>
      <c r="D1073" s="2"/>
      <c r="E1073" s="5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4"/>
      <c r="B1074" s="2"/>
      <c r="C1074" s="2"/>
      <c r="D1074" s="2"/>
      <c r="E1074" s="5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4"/>
      <c r="B1075" s="2"/>
      <c r="C1075" s="2"/>
      <c r="D1075" s="2"/>
      <c r="E1075" s="5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4"/>
      <c r="B1076" s="2"/>
      <c r="C1076" s="2"/>
      <c r="D1076" s="2"/>
      <c r="E1076" s="5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4"/>
      <c r="B1077" s="2"/>
      <c r="C1077" s="2"/>
      <c r="D1077" s="2"/>
      <c r="E1077" s="5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4"/>
      <c r="B1078" s="2"/>
      <c r="C1078" s="2"/>
      <c r="D1078" s="2"/>
      <c r="E1078" s="5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4"/>
      <c r="B1079" s="2"/>
      <c r="C1079" s="2"/>
      <c r="D1079" s="2"/>
      <c r="E1079" s="5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4"/>
      <c r="B1080" s="2"/>
      <c r="C1080" s="2"/>
      <c r="D1080" s="2"/>
      <c r="E1080" s="5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4"/>
      <c r="B1081" s="2"/>
      <c r="C1081" s="2"/>
      <c r="D1081" s="2"/>
      <c r="E1081" s="5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4"/>
      <c r="B1082" s="2"/>
      <c r="C1082" s="2"/>
      <c r="D1082" s="2"/>
      <c r="E1082" s="5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4"/>
      <c r="B1083" s="2"/>
      <c r="C1083" s="2"/>
      <c r="D1083" s="2"/>
      <c r="E1083" s="5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4"/>
      <c r="B1084" s="2"/>
      <c r="C1084" s="2"/>
      <c r="D1084" s="2"/>
      <c r="E1084" s="5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4"/>
      <c r="B1085" s="2"/>
      <c r="C1085" s="2"/>
      <c r="D1085" s="2"/>
      <c r="E1085" s="5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4"/>
      <c r="B1086" s="2"/>
      <c r="C1086" s="2"/>
      <c r="D1086" s="2"/>
      <c r="E1086" s="5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4"/>
      <c r="B1087" s="2"/>
      <c r="C1087" s="2"/>
      <c r="D1087" s="2"/>
      <c r="E1087" s="5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4"/>
      <c r="B1088" s="2"/>
      <c r="C1088" s="2"/>
      <c r="D1088" s="2"/>
      <c r="E1088" s="5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4"/>
      <c r="B1089" s="2"/>
      <c r="C1089" s="2"/>
      <c r="D1089" s="2"/>
      <c r="E1089" s="5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4"/>
      <c r="B1090" s="2"/>
      <c r="C1090" s="2"/>
      <c r="D1090" s="2"/>
      <c r="E1090" s="5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4"/>
      <c r="B1091" s="2"/>
      <c r="C1091" s="2"/>
      <c r="D1091" s="2"/>
      <c r="E1091" s="5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4"/>
      <c r="B1092" s="2"/>
      <c r="C1092" s="2"/>
      <c r="D1092" s="2"/>
      <c r="E1092" s="5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4"/>
      <c r="B1093" s="2"/>
      <c r="C1093" s="2"/>
      <c r="D1093" s="2"/>
      <c r="E1093" s="5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4"/>
      <c r="B1094" s="2"/>
      <c r="C1094" s="2"/>
      <c r="D1094" s="2"/>
      <c r="E1094" s="5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4"/>
      <c r="B1095" s="2"/>
      <c r="C1095" s="2"/>
      <c r="D1095" s="2"/>
      <c r="E1095" s="5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4"/>
      <c r="B1096" s="2"/>
      <c r="C1096" s="2"/>
      <c r="D1096" s="2"/>
      <c r="E1096" s="5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4"/>
      <c r="B1097" s="2"/>
      <c r="C1097" s="2"/>
      <c r="D1097" s="2"/>
      <c r="E1097" s="5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4"/>
      <c r="B1098" s="2"/>
      <c r="C1098" s="2"/>
      <c r="D1098" s="2"/>
      <c r="E1098" s="5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4"/>
      <c r="B1099" s="2"/>
      <c r="C1099" s="2"/>
      <c r="D1099" s="2"/>
      <c r="E1099" s="5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4"/>
      <c r="B1100" s="2"/>
      <c r="C1100" s="2"/>
      <c r="D1100" s="2"/>
      <c r="E1100" s="5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4"/>
      <c r="B1101" s="2"/>
      <c r="C1101" s="2"/>
      <c r="D1101" s="2"/>
      <c r="E1101" s="5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4"/>
      <c r="B1102" s="2"/>
      <c r="C1102" s="2"/>
      <c r="D1102" s="2"/>
      <c r="E1102" s="5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4"/>
      <c r="B1103" s="2"/>
      <c r="C1103" s="2"/>
      <c r="D1103" s="2"/>
      <c r="E1103" s="5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4"/>
      <c r="B1104" s="2"/>
      <c r="C1104" s="2"/>
      <c r="D1104" s="2"/>
      <c r="E1104" s="5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4"/>
      <c r="B1105" s="2"/>
      <c r="C1105" s="2"/>
      <c r="D1105" s="2"/>
      <c r="E1105" s="5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4"/>
      <c r="B1106" s="2"/>
      <c r="C1106" s="2"/>
      <c r="D1106" s="2"/>
      <c r="E1106" s="5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4"/>
      <c r="B1107" s="2"/>
      <c r="C1107" s="2"/>
      <c r="D1107" s="2"/>
      <c r="E1107" s="5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4"/>
      <c r="B1108" s="2"/>
      <c r="C1108" s="2"/>
      <c r="D1108" s="2"/>
      <c r="E1108" s="5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4"/>
      <c r="B1109" s="2"/>
      <c r="C1109" s="2"/>
      <c r="D1109" s="2"/>
      <c r="E1109" s="5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4"/>
      <c r="B1110" s="2"/>
      <c r="C1110" s="2"/>
      <c r="D1110" s="2"/>
      <c r="E1110" s="5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4"/>
      <c r="B1111" s="2"/>
      <c r="C1111" s="2"/>
      <c r="D1111" s="2"/>
      <c r="E1111" s="5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4"/>
      <c r="B1112" s="2"/>
      <c r="C1112" s="2"/>
      <c r="D1112" s="2"/>
      <c r="E1112" s="5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4"/>
      <c r="B1113" s="2"/>
      <c r="C1113" s="2"/>
      <c r="D1113" s="2"/>
      <c r="E1113" s="5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4"/>
      <c r="B1114" s="2"/>
      <c r="C1114" s="2"/>
      <c r="D1114" s="2"/>
      <c r="E1114" s="5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4"/>
      <c r="B1115" s="2"/>
      <c r="C1115" s="2"/>
      <c r="D1115" s="2"/>
      <c r="E1115" s="5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4"/>
      <c r="B1116" s="2"/>
      <c r="C1116" s="2"/>
      <c r="D1116" s="2"/>
      <c r="E1116" s="5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4"/>
      <c r="B1117" s="2"/>
      <c r="C1117" s="2"/>
      <c r="D1117" s="2"/>
      <c r="E1117" s="5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4"/>
      <c r="B1118" s="2"/>
      <c r="C1118" s="2"/>
      <c r="D1118" s="2"/>
      <c r="E1118" s="5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4"/>
      <c r="B1119" s="2"/>
      <c r="C1119" s="2"/>
      <c r="D1119" s="2"/>
      <c r="E1119" s="5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4"/>
      <c r="B1120" s="2"/>
      <c r="C1120" s="2"/>
      <c r="D1120" s="2"/>
      <c r="E1120" s="5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4"/>
      <c r="B1121" s="2"/>
      <c r="C1121" s="2"/>
      <c r="D1121" s="2"/>
      <c r="E1121" s="5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4"/>
      <c r="B1122" s="2"/>
      <c r="C1122" s="2"/>
      <c r="D1122" s="2"/>
      <c r="E1122" s="5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4"/>
      <c r="B1123" s="2"/>
      <c r="C1123" s="2"/>
      <c r="D1123" s="2"/>
      <c r="E1123" s="5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4"/>
      <c r="B1124" s="2"/>
      <c r="C1124" s="2"/>
      <c r="D1124" s="2"/>
      <c r="E1124" s="5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4"/>
      <c r="B1125" s="2"/>
      <c r="C1125" s="2"/>
      <c r="D1125" s="2"/>
      <c r="E1125" s="5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4"/>
      <c r="B1126" s="2"/>
      <c r="C1126" s="2"/>
      <c r="D1126" s="2"/>
      <c r="E1126" s="5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4"/>
      <c r="B1127" s="2"/>
      <c r="C1127" s="2"/>
      <c r="D1127" s="2"/>
      <c r="E1127" s="5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4"/>
      <c r="B1128" s="2"/>
      <c r="C1128" s="2"/>
      <c r="D1128" s="2"/>
      <c r="E1128" s="5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4"/>
      <c r="B1129" s="2"/>
      <c r="C1129" s="2"/>
      <c r="D1129" s="2"/>
      <c r="E1129" s="5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4"/>
      <c r="B1130" s="2"/>
      <c r="C1130" s="2"/>
      <c r="D1130" s="2"/>
      <c r="E1130" s="5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4"/>
      <c r="B1131" s="2"/>
      <c r="C1131" s="2"/>
      <c r="D1131" s="2"/>
      <c r="E1131" s="5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4"/>
      <c r="B1132" s="2"/>
      <c r="C1132" s="2"/>
      <c r="D1132" s="2"/>
      <c r="E1132" s="5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4"/>
      <c r="B1133" s="2"/>
      <c r="C1133" s="2"/>
      <c r="D1133" s="2"/>
      <c r="E1133" s="5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4"/>
      <c r="B1134" s="2"/>
      <c r="C1134" s="2"/>
      <c r="D1134" s="2"/>
      <c r="E1134" s="5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4"/>
      <c r="B1135" s="2"/>
      <c r="C1135" s="2"/>
      <c r="D1135" s="2"/>
      <c r="E1135" s="5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4"/>
      <c r="B1136" s="2"/>
      <c r="C1136" s="2"/>
      <c r="D1136" s="2"/>
      <c r="E1136" s="5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4"/>
      <c r="B1137" s="2"/>
      <c r="C1137" s="2"/>
      <c r="D1137" s="2"/>
      <c r="E1137" s="5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4"/>
      <c r="B1138" s="2"/>
      <c r="C1138" s="2"/>
      <c r="D1138" s="2"/>
      <c r="E1138" s="5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4"/>
      <c r="B1139" s="2"/>
      <c r="C1139" s="2"/>
      <c r="D1139" s="2"/>
      <c r="E1139" s="5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4"/>
      <c r="B1140" s="2"/>
      <c r="C1140" s="2"/>
      <c r="D1140" s="2"/>
      <c r="E1140" s="5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4"/>
      <c r="B1141" s="2"/>
      <c r="C1141" s="2"/>
      <c r="D1141" s="2"/>
      <c r="E1141" s="5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4"/>
      <c r="B1142" s="2"/>
      <c r="C1142" s="2"/>
      <c r="D1142" s="2"/>
      <c r="E1142" s="5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4"/>
      <c r="B1143" s="2"/>
      <c r="C1143" s="2"/>
      <c r="D1143" s="2"/>
      <c r="E1143" s="5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4"/>
      <c r="B1144" s="2"/>
      <c r="C1144" s="2"/>
      <c r="D1144" s="2"/>
      <c r="E1144" s="5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4"/>
      <c r="B1145" s="2"/>
      <c r="C1145" s="2"/>
      <c r="D1145" s="2"/>
      <c r="E1145" s="5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4"/>
      <c r="B1146" s="2"/>
      <c r="C1146" s="2"/>
      <c r="D1146" s="2"/>
      <c r="E1146" s="5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4"/>
      <c r="B1147" s="2"/>
      <c r="C1147" s="2"/>
      <c r="D1147" s="2"/>
      <c r="E1147" s="5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4"/>
      <c r="B1148" s="2"/>
      <c r="C1148" s="2"/>
      <c r="D1148" s="2"/>
      <c r="E1148" s="5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4"/>
      <c r="B1149" s="2"/>
      <c r="C1149" s="2"/>
      <c r="D1149" s="2"/>
      <c r="E1149" s="5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4"/>
      <c r="B1150" s="2"/>
      <c r="C1150" s="2"/>
      <c r="D1150" s="2"/>
      <c r="E1150" s="5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4"/>
      <c r="B1151" s="2"/>
      <c r="C1151" s="2"/>
      <c r="D1151" s="2"/>
      <c r="E1151" s="5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4"/>
      <c r="B1152" s="2"/>
      <c r="C1152" s="2"/>
      <c r="D1152" s="2"/>
      <c r="E1152" s="5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4"/>
      <c r="B1153" s="2"/>
      <c r="C1153" s="2"/>
      <c r="D1153" s="2"/>
      <c r="E1153" s="5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4"/>
      <c r="B1154" s="2"/>
      <c r="C1154" s="2"/>
      <c r="D1154" s="2"/>
      <c r="E1154" s="5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4"/>
      <c r="B1155" s="2"/>
      <c r="C1155" s="2"/>
      <c r="D1155" s="2"/>
      <c r="E1155" s="5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4"/>
      <c r="B1156" s="2"/>
      <c r="C1156" s="2"/>
      <c r="D1156" s="2"/>
      <c r="E1156" s="5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4"/>
      <c r="B1157" s="2"/>
      <c r="C1157" s="2"/>
      <c r="D1157" s="2"/>
      <c r="E1157" s="5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4"/>
      <c r="B1158" s="2"/>
      <c r="C1158" s="2"/>
      <c r="D1158" s="2"/>
      <c r="E1158" s="5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4"/>
      <c r="B1159" s="2"/>
      <c r="C1159" s="2"/>
      <c r="D1159" s="2"/>
      <c r="E1159" s="5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4"/>
      <c r="B1160" s="2"/>
      <c r="C1160" s="2"/>
      <c r="D1160" s="2"/>
      <c r="E1160" s="5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4"/>
      <c r="B1161" s="2"/>
      <c r="C1161" s="2"/>
      <c r="D1161" s="2"/>
      <c r="E1161" s="5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4"/>
      <c r="B1162" s="2"/>
      <c r="C1162" s="2"/>
      <c r="D1162" s="2"/>
      <c r="E1162" s="5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4"/>
      <c r="B1163" s="2"/>
      <c r="C1163" s="2"/>
      <c r="D1163" s="2"/>
      <c r="E1163" s="5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4"/>
      <c r="B1164" s="2"/>
      <c r="C1164" s="2"/>
      <c r="D1164" s="2"/>
      <c r="E1164" s="5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4"/>
      <c r="B1165" s="2"/>
      <c r="C1165" s="2"/>
      <c r="D1165" s="2"/>
      <c r="E1165" s="5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4"/>
      <c r="B1166" s="2"/>
      <c r="C1166" s="2"/>
      <c r="D1166" s="2"/>
      <c r="E1166" s="5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4"/>
      <c r="B1167" s="2"/>
      <c r="C1167" s="2"/>
      <c r="D1167" s="2"/>
      <c r="E1167" s="5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4"/>
      <c r="B1168" s="2"/>
      <c r="C1168" s="2"/>
      <c r="D1168" s="2"/>
      <c r="E1168" s="5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4"/>
      <c r="B1169" s="2"/>
      <c r="C1169" s="2"/>
      <c r="D1169" s="2"/>
      <c r="E1169" s="5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4"/>
      <c r="B1170" s="2"/>
      <c r="C1170" s="2"/>
      <c r="D1170" s="2"/>
      <c r="E1170" s="5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4"/>
      <c r="B1171" s="2"/>
      <c r="C1171" s="2"/>
      <c r="D1171" s="2"/>
      <c r="E1171" s="5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4"/>
      <c r="B1172" s="2"/>
      <c r="C1172" s="2"/>
      <c r="D1172" s="2"/>
      <c r="E1172" s="5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4"/>
      <c r="B1173" s="2"/>
      <c r="C1173" s="2"/>
      <c r="D1173" s="2"/>
      <c r="E1173" s="5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4"/>
      <c r="B1174" s="2"/>
      <c r="C1174" s="2"/>
      <c r="D1174" s="2"/>
      <c r="E1174" s="5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4"/>
      <c r="B1175" s="2"/>
      <c r="C1175" s="2"/>
      <c r="D1175" s="2"/>
      <c r="E1175" s="5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4"/>
      <c r="B1176" s="2"/>
      <c r="C1176" s="2"/>
      <c r="D1176" s="2"/>
      <c r="E1176" s="5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4"/>
      <c r="B1177" s="2"/>
      <c r="C1177" s="2"/>
      <c r="D1177" s="2"/>
      <c r="E1177" s="5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4"/>
      <c r="B1178" s="2"/>
      <c r="C1178" s="2"/>
      <c r="D1178" s="2"/>
      <c r="E1178" s="5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4"/>
      <c r="B1179" s="2"/>
      <c r="C1179" s="2"/>
      <c r="D1179" s="2"/>
      <c r="E1179" s="5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4"/>
      <c r="B1180" s="2"/>
      <c r="C1180" s="2"/>
      <c r="D1180" s="2"/>
      <c r="E1180" s="5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4"/>
      <c r="B1181" s="2"/>
      <c r="C1181" s="2"/>
      <c r="D1181" s="2"/>
      <c r="E1181" s="5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4"/>
      <c r="B1182" s="2"/>
      <c r="C1182" s="2"/>
      <c r="D1182" s="2"/>
      <c r="E1182" s="5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4"/>
      <c r="B1183" s="2"/>
      <c r="C1183" s="2"/>
      <c r="D1183" s="2"/>
      <c r="E1183" s="5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4"/>
      <c r="B1184" s="2"/>
      <c r="C1184" s="2"/>
      <c r="D1184" s="2"/>
      <c r="E1184" s="5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4"/>
      <c r="B1185" s="2"/>
      <c r="C1185" s="2"/>
      <c r="D1185" s="2"/>
      <c r="E1185" s="5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4"/>
      <c r="B1186" s="2"/>
      <c r="C1186" s="2"/>
      <c r="D1186" s="2"/>
      <c r="E1186" s="5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4"/>
      <c r="B1187" s="2"/>
      <c r="C1187" s="2"/>
      <c r="D1187" s="2"/>
      <c r="E1187" s="5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4"/>
      <c r="B1188" s="2"/>
      <c r="C1188" s="2"/>
      <c r="D1188" s="2"/>
      <c r="E1188" s="5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4"/>
      <c r="B1189" s="2"/>
      <c r="C1189" s="2"/>
      <c r="D1189" s="2"/>
      <c r="E1189" s="5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4"/>
      <c r="B1190" s="2"/>
      <c r="C1190" s="2"/>
      <c r="D1190" s="2"/>
      <c r="E1190" s="5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4"/>
      <c r="B1191" s="2"/>
      <c r="C1191" s="2"/>
      <c r="D1191" s="2"/>
      <c r="E1191" s="5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4"/>
      <c r="B1192" s="2"/>
      <c r="C1192" s="2"/>
      <c r="D1192" s="2"/>
      <c r="E1192" s="5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4"/>
      <c r="B1193" s="2"/>
      <c r="C1193" s="2"/>
      <c r="D1193" s="2"/>
      <c r="E1193" s="5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4"/>
      <c r="B1194" s="2"/>
      <c r="C1194" s="2"/>
      <c r="D1194" s="2"/>
      <c r="E1194" s="5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4"/>
      <c r="B1195" s="2"/>
      <c r="C1195" s="2"/>
      <c r="D1195" s="2"/>
      <c r="E1195" s="5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4"/>
      <c r="B1196" s="2"/>
      <c r="C1196" s="2"/>
      <c r="D1196" s="2"/>
      <c r="E1196" s="5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4"/>
      <c r="B1197" s="2"/>
      <c r="C1197" s="2"/>
      <c r="D1197" s="2"/>
      <c r="E1197" s="5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4"/>
      <c r="B1198" s="2"/>
      <c r="C1198" s="2"/>
      <c r="D1198" s="2"/>
      <c r="E1198" s="5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4"/>
      <c r="B1199" s="2"/>
      <c r="C1199" s="2"/>
      <c r="D1199" s="2"/>
      <c r="E1199" s="5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4"/>
      <c r="B1200" s="2"/>
      <c r="C1200" s="2"/>
      <c r="D1200" s="2"/>
      <c r="E1200" s="5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4"/>
      <c r="B1201" s="2"/>
      <c r="C1201" s="2"/>
      <c r="D1201" s="2"/>
      <c r="E1201" s="5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4"/>
      <c r="B1202" s="2"/>
      <c r="C1202" s="2"/>
      <c r="D1202" s="2"/>
      <c r="E1202" s="5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4"/>
      <c r="B1203" s="2"/>
      <c r="C1203" s="2"/>
      <c r="D1203" s="2"/>
      <c r="E1203" s="5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4"/>
      <c r="B1204" s="2"/>
      <c r="C1204" s="2"/>
      <c r="D1204" s="2"/>
      <c r="E1204" s="5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4"/>
      <c r="B1205" s="2"/>
      <c r="C1205" s="2"/>
      <c r="D1205" s="2"/>
      <c r="E1205" s="5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4"/>
      <c r="B1206" s="2"/>
      <c r="C1206" s="2"/>
      <c r="D1206" s="2"/>
      <c r="E1206" s="5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4"/>
      <c r="B1207" s="2"/>
      <c r="C1207" s="2"/>
      <c r="D1207" s="2"/>
      <c r="E1207" s="5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4"/>
      <c r="B1208" s="2"/>
      <c r="C1208" s="2"/>
      <c r="D1208" s="2"/>
      <c r="E1208" s="5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4"/>
      <c r="B1209" s="2"/>
      <c r="C1209" s="2"/>
      <c r="D1209" s="2"/>
      <c r="E1209" s="5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4"/>
      <c r="B1210" s="2"/>
      <c r="C1210" s="2"/>
      <c r="D1210" s="2"/>
      <c r="E1210" s="5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4"/>
      <c r="B1211" s="2"/>
      <c r="C1211" s="2"/>
      <c r="D1211" s="2"/>
      <c r="E1211" s="5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4"/>
      <c r="B1212" s="2"/>
      <c r="C1212" s="2"/>
      <c r="D1212" s="2"/>
      <c r="E1212" s="5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4"/>
      <c r="B1213" s="2"/>
      <c r="C1213" s="2"/>
      <c r="D1213" s="2"/>
      <c r="E1213" s="5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4"/>
      <c r="B1214" s="2"/>
      <c r="C1214" s="2"/>
      <c r="D1214" s="2"/>
      <c r="E1214" s="5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4"/>
      <c r="B1215" s="2"/>
      <c r="C1215" s="2"/>
      <c r="D1215" s="2"/>
      <c r="E1215" s="5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4"/>
      <c r="B1216" s="2"/>
      <c r="C1216" s="2"/>
      <c r="D1216" s="2"/>
      <c r="E1216" s="5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4"/>
      <c r="B1217" s="2"/>
      <c r="C1217" s="2"/>
      <c r="D1217" s="2"/>
      <c r="E1217" s="5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4"/>
      <c r="B1218" s="2"/>
      <c r="C1218" s="2"/>
      <c r="D1218" s="2"/>
      <c r="E1218" s="5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4"/>
      <c r="B1219" s="2"/>
      <c r="C1219" s="2"/>
      <c r="D1219" s="2"/>
      <c r="E1219" s="5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4"/>
      <c r="B1220" s="2"/>
      <c r="C1220" s="2"/>
      <c r="D1220" s="2"/>
      <c r="E1220" s="5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4"/>
      <c r="B1221" s="2"/>
      <c r="C1221" s="2"/>
      <c r="D1221" s="2"/>
      <c r="E1221" s="5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4"/>
      <c r="B1222" s="2"/>
      <c r="C1222" s="2"/>
      <c r="D1222" s="2"/>
      <c r="E1222" s="5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4"/>
      <c r="B1223" s="2"/>
      <c r="C1223" s="2"/>
      <c r="D1223" s="2"/>
      <c r="E1223" s="5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4"/>
      <c r="B1224" s="2"/>
      <c r="C1224" s="2"/>
      <c r="D1224" s="2"/>
      <c r="E1224" s="5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4"/>
      <c r="B1225" s="2"/>
      <c r="C1225" s="2"/>
      <c r="D1225" s="2"/>
      <c r="E1225" s="5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4"/>
      <c r="B1226" s="2"/>
      <c r="C1226" s="2"/>
      <c r="D1226" s="2"/>
      <c r="E1226" s="5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4"/>
      <c r="B1227" s="2"/>
      <c r="C1227" s="2"/>
      <c r="D1227" s="2"/>
      <c r="E1227" s="5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4"/>
      <c r="B1228" s="2"/>
      <c r="C1228" s="2"/>
      <c r="D1228" s="2"/>
      <c r="E1228" s="5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4"/>
      <c r="B1229" s="2"/>
      <c r="C1229" s="2"/>
      <c r="D1229" s="2"/>
      <c r="E1229" s="5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4"/>
      <c r="B1230" s="2"/>
      <c r="C1230" s="2"/>
      <c r="D1230" s="2"/>
      <c r="E1230" s="5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4"/>
      <c r="B1231" s="2"/>
      <c r="C1231" s="2"/>
      <c r="D1231" s="2"/>
      <c r="E1231" s="5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4"/>
      <c r="B1232" s="2"/>
      <c r="C1232" s="2"/>
      <c r="D1232" s="2"/>
      <c r="E1232" s="5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4"/>
      <c r="B1233" s="2"/>
      <c r="C1233" s="2"/>
      <c r="D1233" s="2"/>
      <c r="E1233" s="5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4"/>
      <c r="B1234" s="2"/>
      <c r="C1234" s="2"/>
      <c r="D1234" s="2"/>
      <c r="E1234" s="5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4"/>
      <c r="B1235" s="2"/>
      <c r="C1235" s="2"/>
      <c r="D1235" s="2"/>
      <c r="E1235" s="5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4"/>
      <c r="B1236" s="2"/>
      <c r="C1236" s="2"/>
      <c r="D1236" s="2"/>
      <c r="E1236" s="5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4"/>
      <c r="B1237" s="2"/>
      <c r="C1237" s="2"/>
      <c r="D1237" s="2"/>
      <c r="E1237" s="5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4"/>
      <c r="B1238" s="2"/>
      <c r="C1238" s="2"/>
      <c r="D1238" s="2"/>
      <c r="E1238" s="5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4"/>
      <c r="B1239" s="2"/>
      <c r="C1239" s="2"/>
      <c r="D1239" s="2"/>
      <c r="E1239" s="5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4"/>
      <c r="B1240" s="2"/>
      <c r="C1240" s="2"/>
      <c r="D1240" s="2"/>
      <c r="E1240" s="5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4"/>
      <c r="B1241" s="2"/>
      <c r="C1241" s="2"/>
      <c r="D1241" s="2"/>
      <c r="E1241" s="5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4"/>
      <c r="B1242" s="2"/>
      <c r="C1242" s="2"/>
      <c r="D1242" s="2"/>
      <c r="E1242" s="5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4"/>
      <c r="B1243" s="2"/>
      <c r="C1243" s="2"/>
      <c r="D1243" s="2"/>
      <c r="E1243" s="5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4"/>
      <c r="B1244" s="2"/>
      <c r="C1244" s="2"/>
      <c r="D1244" s="2"/>
      <c r="E1244" s="5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4"/>
      <c r="B1245" s="2"/>
      <c r="C1245" s="2"/>
      <c r="D1245" s="2"/>
      <c r="E1245" s="5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4"/>
      <c r="B1246" s="2"/>
      <c r="C1246" s="2"/>
      <c r="D1246" s="2"/>
      <c r="E1246" s="5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4"/>
      <c r="B1247" s="2"/>
      <c r="C1247" s="2"/>
      <c r="D1247" s="2"/>
      <c r="E1247" s="5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4"/>
      <c r="B1248" s="2"/>
      <c r="C1248" s="2"/>
      <c r="D1248" s="2"/>
      <c r="E1248" s="5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4"/>
      <c r="B1249" s="2"/>
      <c r="C1249" s="2"/>
      <c r="D1249" s="2"/>
      <c r="E1249" s="5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4"/>
      <c r="B1250" s="2"/>
      <c r="C1250" s="2"/>
      <c r="D1250" s="2"/>
      <c r="E1250" s="5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4"/>
      <c r="B1251" s="2"/>
      <c r="C1251" s="2"/>
      <c r="D1251" s="2"/>
      <c r="E1251" s="5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4"/>
      <c r="B1252" s="2"/>
      <c r="C1252" s="2"/>
      <c r="D1252" s="2"/>
      <c r="E1252" s="5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4"/>
      <c r="B1253" s="2"/>
      <c r="C1253" s="2"/>
      <c r="D1253" s="2"/>
      <c r="E1253" s="5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4"/>
      <c r="B1254" s="2"/>
      <c r="C1254" s="2"/>
      <c r="D1254" s="2"/>
      <c r="E1254" s="5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4"/>
      <c r="B1255" s="2"/>
      <c r="C1255" s="2"/>
      <c r="D1255" s="2"/>
      <c r="E1255" s="5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4"/>
      <c r="B1256" s="2"/>
      <c r="C1256" s="2"/>
      <c r="D1256" s="2"/>
      <c r="E1256" s="5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4"/>
      <c r="B1257" s="2"/>
      <c r="C1257" s="2"/>
      <c r="D1257" s="2"/>
      <c r="E1257" s="5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4"/>
      <c r="B1258" s="2"/>
      <c r="C1258" s="2"/>
      <c r="D1258" s="2"/>
      <c r="E1258" s="5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4"/>
      <c r="B1259" s="2"/>
      <c r="C1259" s="2"/>
      <c r="D1259" s="2"/>
      <c r="E1259" s="5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4"/>
      <c r="B1260" s="2"/>
      <c r="C1260" s="2"/>
      <c r="D1260" s="2"/>
      <c r="E1260" s="5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4"/>
      <c r="B1261" s="2"/>
      <c r="C1261" s="2"/>
      <c r="D1261" s="2"/>
      <c r="E1261" s="5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4"/>
      <c r="B1262" s="2"/>
      <c r="C1262" s="2"/>
      <c r="D1262" s="2"/>
      <c r="E1262" s="5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4"/>
      <c r="B1263" s="2"/>
      <c r="C1263" s="2"/>
      <c r="D1263" s="2"/>
      <c r="E1263" s="5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4"/>
      <c r="B1264" s="2"/>
      <c r="C1264" s="2"/>
      <c r="D1264" s="2"/>
      <c r="E1264" s="5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4"/>
      <c r="B1265" s="2"/>
      <c r="C1265" s="2"/>
      <c r="D1265" s="2"/>
      <c r="E1265" s="5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4"/>
      <c r="B1266" s="2"/>
      <c r="C1266" s="2"/>
      <c r="D1266" s="2"/>
      <c r="E1266" s="5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4"/>
      <c r="B1267" s="2"/>
      <c r="C1267" s="2"/>
      <c r="D1267" s="2"/>
      <c r="E1267" s="5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4"/>
      <c r="B1268" s="2"/>
      <c r="C1268" s="2"/>
      <c r="D1268" s="2"/>
      <c r="E1268" s="5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4"/>
      <c r="B1269" s="2"/>
      <c r="C1269" s="2"/>
      <c r="D1269" s="2"/>
      <c r="E1269" s="5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4"/>
      <c r="B1270" s="2"/>
      <c r="C1270" s="2"/>
      <c r="D1270" s="2"/>
      <c r="E1270" s="5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4"/>
      <c r="B1271" s="2"/>
      <c r="C1271" s="2"/>
      <c r="D1271" s="2"/>
      <c r="E1271" s="5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4"/>
      <c r="B1272" s="2"/>
      <c r="C1272" s="2"/>
      <c r="D1272" s="2"/>
      <c r="E1272" s="5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4"/>
      <c r="B1273" s="2"/>
      <c r="C1273" s="2"/>
      <c r="D1273" s="2"/>
      <c r="E1273" s="5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4"/>
      <c r="B1274" s="2"/>
      <c r="C1274" s="2"/>
      <c r="D1274" s="2"/>
      <c r="E1274" s="5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4"/>
      <c r="B1275" s="2"/>
      <c r="C1275" s="2"/>
      <c r="D1275" s="2"/>
      <c r="E1275" s="5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4"/>
      <c r="B1276" s="2"/>
      <c r="C1276" s="2"/>
      <c r="D1276" s="2"/>
      <c r="E1276" s="5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4"/>
      <c r="B1277" s="2"/>
      <c r="C1277" s="2"/>
      <c r="D1277" s="2"/>
      <c r="E1277" s="5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4"/>
      <c r="B1278" s="2"/>
      <c r="C1278" s="2"/>
      <c r="D1278" s="2"/>
      <c r="E1278" s="5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4"/>
      <c r="B1279" s="2"/>
      <c r="C1279" s="2"/>
      <c r="D1279" s="2"/>
      <c r="E1279" s="5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4"/>
      <c r="B1280" s="2"/>
      <c r="C1280" s="2"/>
      <c r="D1280" s="2"/>
      <c r="E1280" s="5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4"/>
      <c r="B1281" s="2"/>
      <c r="C1281" s="2"/>
      <c r="D1281" s="2"/>
      <c r="E1281" s="5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4"/>
      <c r="B1282" s="2"/>
      <c r="C1282" s="2"/>
      <c r="D1282" s="2"/>
      <c r="E1282" s="5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4"/>
      <c r="B1283" s="2"/>
      <c r="C1283" s="2"/>
      <c r="D1283" s="2"/>
      <c r="E1283" s="5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4"/>
      <c r="B1284" s="2"/>
      <c r="C1284" s="2"/>
      <c r="D1284" s="2"/>
      <c r="E1284" s="5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4"/>
      <c r="B1285" s="2"/>
      <c r="C1285" s="2"/>
      <c r="D1285" s="2"/>
      <c r="E1285" s="5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4"/>
      <c r="B1286" s="2"/>
      <c r="C1286" s="2"/>
      <c r="D1286" s="2"/>
      <c r="E1286" s="5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4"/>
      <c r="B1287" s="2"/>
      <c r="C1287" s="2"/>
      <c r="D1287" s="2"/>
      <c r="E1287" s="5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4"/>
      <c r="B1288" s="2"/>
      <c r="C1288" s="2"/>
      <c r="D1288" s="2"/>
      <c r="E1288" s="5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4"/>
      <c r="B1289" s="2"/>
      <c r="C1289" s="2"/>
      <c r="D1289" s="2"/>
      <c r="E1289" s="5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4"/>
      <c r="B1290" s="2"/>
      <c r="C1290" s="2"/>
      <c r="D1290" s="2"/>
      <c r="E1290" s="5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4"/>
      <c r="B1291" s="2"/>
      <c r="C1291" s="2"/>
      <c r="D1291" s="2"/>
      <c r="E1291" s="5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4"/>
      <c r="B1292" s="2"/>
      <c r="C1292" s="2"/>
      <c r="D1292" s="2"/>
      <c r="E1292" s="5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4"/>
      <c r="B1293" s="2"/>
      <c r="C1293" s="2"/>
      <c r="D1293" s="2"/>
      <c r="E1293" s="5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4"/>
      <c r="B1294" s="2"/>
      <c r="C1294" s="2"/>
      <c r="D1294" s="2"/>
      <c r="E1294" s="5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4"/>
      <c r="B1295" s="2"/>
      <c r="C1295" s="2"/>
      <c r="D1295" s="2"/>
      <c r="E1295" s="5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4"/>
      <c r="B1296" s="2"/>
      <c r="C1296" s="2"/>
      <c r="D1296" s="2"/>
      <c r="E1296" s="5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4"/>
      <c r="B1297" s="2"/>
      <c r="C1297" s="2"/>
      <c r="D1297" s="2"/>
      <c r="E1297" s="5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4"/>
      <c r="B1298" s="2"/>
      <c r="C1298" s="2"/>
      <c r="D1298" s="2"/>
      <c r="E1298" s="5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4"/>
      <c r="B1299" s="2"/>
      <c r="C1299" s="2"/>
      <c r="D1299" s="2"/>
      <c r="E1299" s="5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4"/>
      <c r="B1300" s="2"/>
      <c r="C1300" s="2"/>
      <c r="D1300" s="2"/>
      <c r="E1300" s="5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4"/>
      <c r="B1301" s="2"/>
      <c r="C1301" s="2"/>
      <c r="D1301" s="2"/>
      <c r="E1301" s="5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4"/>
      <c r="B1302" s="2"/>
      <c r="C1302" s="2"/>
      <c r="D1302" s="2"/>
      <c r="E1302" s="5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4"/>
      <c r="B1303" s="2"/>
      <c r="C1303" s="2"/>
      <c r="D1303" s="2"/>
      <c r="E1303" s="5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4"/>
      <c r="B1304" s="2"/>
      <c r="C1304" s="2"/>
      <c r="D1304" s="2"/>
      <c r="E1304" s="5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4"/>
      <c r="B1305" s="2"/>
      <c r="C1305" s="2"/>
      <c r="D1305" s="2"/>
      <c r="E1305" s="5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4"/>
      <c r="B1306" s="2"/>
      <c r="C1306" s="2"/>
      <c r="D1306" s="2"/>
      <c r="E1306" s="5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4"/>
      <c r="B1307" s="2"/>
      <c r="C1307" s="2"/>
      <c r="D1307" s="2"/>
      <c r="E1307" s="5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4"/>
      <c r="B1308" s="2"/>
      <c r="C1308" s="2"/>
      <c r="D1308" s="2"/>
      <c r="E1308" s="5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4"/>
      <c r="B1309" s="2"/>
      <c r="C1309" s="2"/>
      <c r="D1309" s="2"/>
      <c r="E1309" s="5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4"/>
      <c r="B1310" s="2"/>
      <c r="C1310" s="2"/>
      <c r="D1310" s="2"/>
      <c r="E1310" s="5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4"/>
      <c r="B1311" s="2"/>
      <c r="C1311" s="2"/>
      <c r="D1311" s="2"/>
      <c r="E1311" s="5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4"/>
      <c r="B1312" s="2"/>
      <c r="C1312" s="2"/>
      <c r="D1312" s="2"/>
      <c r="E1312" s="5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4"/>
      <c r="B1313" s="2"/>
      <c r="C1313" s="2"/>
      <c r="D1313" s="2"/>
      <c r="E1313" s="5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4"/>
      <c r="B1314" s="2"/>
      <c r="C1314" s="2"/>
      <c r="D1314" s="2"/>
      <c r="E1314" s="5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4"/>
      <c r="B1315" s="2"/>
      <c r="C1315" s="2"/>
      <c r="D1315" s="2"/>
      <c r="E1315" s="5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4"/>
      <c r="B1316" s="2"/>
      <c r="C1316" s="2"/>
      <c r="D1316" s="2"/>
      <c r="E1316" s="5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4"/>
      <c r="B1317" s="2"/>
      <c r="C1317" s="2"/>
      <c r="D1317" s="2"/>
      <c r="E1317" s="5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4"/>
      <c r="B1318" s="2"/>
      <c r="C1318" s="2"/>
      <c r="D1318" s="2"/>
      <c r="E1318" s="5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4"/>
      <c r="B1319" s="2"/>
      <c r="C1319" s="2"/>
      <c r="D1319" s="2"/>
      <c r="E1319" s="5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4"/>
      <c r="B1320" s="2"/>
      <c r="C1320" s="2"/>
      <c r="D1320" s="2"/>
      <c r="E1320" s="5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4"/>
      <c r="B1321" s="2"/>
      <c r="C1321" s="2"/>
      <c r="D1321" s="2"/>
      <c r="E1321" s="5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4"/>
      <c r="B1322" s="2"/>
      <c r="C1322" s="2"/>
      <c r="D1322" s="2"/>
      <c r="E1322" s="5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4"/>
      <c r="B1323" s="2"/>
      <c r="C1323" s="2"/>
      <c r="D1323" s="2"/>
      <c r="E1323" s="5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4"/>
      <c r="B1324" s="2"/>
      <c r="C1324" s="2"/>
      <c r="D1324" s="2"/>
      <c r="E1324" s="5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4"/>
      <c r="B1325" s="2"/>
      <c r="C1325" s="2"/>
      <c r="D1325" s="2"/>
      <c r="E1325" s="5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4"/>
      <c r="B1326" s="2"/>
      <c r="C1326" s="2"/>
      <c r="D1326" s="2"/>
      <c r="E1326" s="5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4"/>
      <c r="B1327" s="2"/>
      <c r="C1327" s="2"/>
      <c r="D1327" s="2"/>
      <c r="E1327" s="5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4"/>
      <c r="B1328" s="2"/>
      <c r="C1328" s="2"/>
      <c r="D1328" s="2"/>
      <c r="E1328" s="5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4"/>
      <c r="B1329" s="2"/>
      <c r="C1329" s="2"/>
      <c r="D1329" s="2"/>
      <c r="E1329" s="5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4"/>
      <c r="B1330" s="2"/>
      <c r="C1330" s="2"/>
      <c r="D1330" s="2"/>
      <c r="E1330" s="5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4"/>
      <c r="B1331" s="2"/>
      <c r="C1331" s="2"/>
      <c r="D1331" s="2"/>
      <c r="E1331" s="5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4"/>
      <c r="B1332" s="2"/>
      <c r="C1332" s="2"/>
      <c r="D1332" s="2"/>
      <c r="E1332" s="5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4"/>
      <c r="B1333" s="2"/>
      <c r="C1333" s="2"/>
      <c r="D1333" s="2"/>
      <c r="E1333" s="5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4"/>
      <c r="B1334" s="2"/>
      <c r="C1334" s="2"/>
      <c r="D1334" s="2"/>
      <c r="E1334" s="5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4"/>
      <c r="B1335" s="2"/>
      <c r="C1335" s="2"/>
      <c r="D1335" s="2"/>
      <c r="E1335" s="5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4"/>
      <c r="B1336" s="2"/>
      <c r="C1336" s="2"/>
      <c r="D1336" s="2"/>
      <c r="E1336" s="5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4"/>
      <c r="B1337" s="2"/>
      <c r="C1337" s="2"/>
      <c r="D1337" s="2"/>
      <c r="E1337" s="5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4"/>
      <c r="B1338" s="2"/>
      <c r="C1338" s="2"/>
      <c r="D1338" s="2"/>
      <c r="E1338" s="5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4"/>
      <c r="B1339" s="2"/>
      <c r="C1339" s="2"/>
      <c r="D1339" s="2"/>
      <c r="E1339" s="5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4"/>
      <c r="B1340" s="2"/>
      <c r="C1340" s="2"/>
      <c r="D1340" s="2"/>
      <c r="E1340" s="5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4"/>
      <c r="B1341" s="2"/>
      <c r="C1341" s="2"/>
      <c r="D1341" s="2"/>
      <c r="E1341" s="5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4"/>
      <c r="B1342" s="2"/>
      <c r="C1342" s="2"/>
      <c r="D1342" s="2"/>
      <c r="E1342" s="5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4"/>
      <c r="B1343" s="2"/>
      <c r="C1343" s="2"/>
      <c r="D1343" s="2"/>
      <c r="E1343" s="5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4"/>
      <c r="B1344" s="2"/>
      <c r="C1344" s="2"/>
      <c r="D1344" s="2"/>
      <c r="E1344" s="5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4"/>
      <c r="B1345" s="2"/>
      <c r="C1345" s="2"/>
      <c r="D1345" s="2"/>
      <c r="E1345" s="5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4"/>
      <c r="B1346" s="2"/>
      <c r="C1346" s="2"/>
      <c r="D1346" s="2"/>
      <c r="E1346" s="5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4"/>
      <c r="B1347" s="2"/>
      <c r="C1347" s="2"/>
      <c r="D1347" s="2"/>
      <c r="E1347" s="5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4"/>
      <c r="B1348" s="2"/>
      <c r="C1348" s="2"/>
      <c r="D1348" s="2"/>
      <c r="E1348" s="5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4"/>
      <c r="B1349" s="2"/>
      <c r="C1349" s="2"/>
      <c r="D1349" s="2"/>
      <c r="E1349" s="5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4"/>
      <c r="B1350" s="2"/>
      <c r="C1350" s="2"/>
      <c r="D1350" s="2"/>
      <c r="E1350" s="5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4"/>
      <c r="B1351" s="2"/>
      <c r="C1351" s="2"/>
      <c r="D1351" s="2"/>
      <c r="E1351" s="5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4"/>
      <c r="B1352" s="2"/>
      <c r="C1352" s="2"/>
      <c r="D1352" s="2"/>
      <c r="E1352" s="5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4"/>
      <c r="B1353" s="2"/>
      <c r="C1353" s="2"/>
      <c r="D1353" s="2"/>
      <c r="E1353" s="5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4"/>
      <c r="B1354" s="2"/>
      <c r="C1354" s="2"/>
      <c r="D1354" s="2"/>
      <c r="E1354" s="5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4"/>
      <c r="B1355" s="2"/>
      <c r="C1355" s="2"/>
      <c r="D1355" s="2"/>
      <c r="E1355" s="5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4"/>
      <c r="B1356" s="2"/>
      <c r="C1356" s="2"/>
      <c r="D1356" s="2"/>
      <c r="E1356" s="5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4"/>
      <c r="B1357" s="2"/>
      <c r="C1357" s="2"/>
      <c r="D1357" s="2"/>
      <c r="E1357" s="5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4"/>
      <c r="B1358" s="2"/>
      <c r="C1358" s="2"/>
      <c r="D1358" s="2"/>
      <c r="E1358" s="5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4"/>
      <c r="B1359" s="2"/>
      <c r="C1359" s="2"/>
      <c r="D1359" s="2"/>
      <c r="E1359" s="5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4"/>
      <c r="B1360" s="2"/>
      <c r="C1360" s="2"/>
      <c r="D1360" s="2"/>
      <c r="E1360" s="5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4"/>
      <c r="B1361" s="2"/>
      <c r="C1361" s="2"/>
      <c r="D1361" s="2"/>
      <c r="E1361" s="5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4"/>
      <c r="B1362" s="2"/>
      <c r="C1362" s="2"/>
      <c r="D1362" s="2"/>
      <c r="E1362" s="5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4"/>
      <c r="B1363" s="2"/>
      <c r="C1363" s="2"/>
      <c r="D1363" s="2"/>
      <c r="E1363" s="5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4"/>
      <c r="B1364" s="2"/>
      <c r="C1364" s="2"/>
      <c r="D1364" s="2"/>
      <c r="E1364" s="5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4"/>
      <c r="B1365" s="2"/>
      <c r="C1365" s="2"/>
      <c r="D1365" s="2"/>
      <c r="E1365" s="5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4"/>
      <c r="B1366" s="2"/>
      <c r="C1366" s="2"/>
      <c r="D1366" s="2"/>
      <c r="E1366" s="5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4"/>
      <c r="B1367" s="2"/>
      <c r="C1367" s="2"/>
      <c r="D1367" s="2"/>
      <c r="E1367" s="5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4"/>
      <c r="B1368" s="2"/>
      <c r="C1368" s="2"/>
      <c r="D1368" s="2"/>
      <c r="E1368" s="5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4"/>
      <c r="B1369" s="2"/>
      <c r="C1369" s="2"/>
      <c r="D1369" s="2"/>
      <c r="E1369" s="5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4"/>
      <c r="B1370" s="2"/>
      <c r="C1370" s="2"/>
      <c r="D1370" s="2"/>
      <c r="E1370" s="5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4"/>
      <c r="B1371" s="2"/>
      <c r="C1371" s="2"/>
      <c r="D1371" s="2"/>
      <c r="E1371" s="5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4"/>
      <c r="B1372" s="2"/>
      <c r="C1372" s="2"/>
      <c r="D1372" s="2"/>
      <c r="E1372" s="5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4"/>
      <c r="B1373" s="2"/>
      <c r="C1373" s="2"/>
      <c r="D1373" s="2"/>
      <c r="E1373" s="5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4"/>
      <c r="B1374" s="2"/>
      <c r="C1374" s="2"/>
      <c r="D1374" s="2"/>
      <c r="E1374" s="5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4"/>
      <c r="B1375" s="2"/>
      <c r="C1375" s="2"/>
      <c r="D1375" s="2"/>
      <c r="E1375" s="5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4"/>
      <c r="B1376" s="2"/>
      <c r="C1376" s="2"/>
      <c r="D1376" s="2"/>
      <c r="E1376" s="5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4"/>
      <c r="B1377" s="2"/>
      <c r="C1377" s="2"/>
      <c r="D1377" s="2"/>
      <c r="E1377" s="5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4"/>
      <c r="B1378" s="2"/>
      <c r="C1378" s="2"/>
      <c r="D1378" s="2"/>
      <c r="E1378" s="5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4"/>
      <c r="B1379" s="2"/>
      <c r="C1379" s="2"/>
      <c r="D1379" s="2"/>
      <c r="E1379" s="5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4"/>
      <c r="B1380" s="2"/>
      <c r="C1380" s="2"/>
      <c r="D1380" s="2"/>
      <c r="E1380" s="5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4"/>
      <c r="B1381" s="2"/>
      <c r="C1381" s="2"/>
      <c r="D1381" s="2"/>
      <c r="E1381" s="5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4"/>
      <c r="B1382" s="2"/>
      <c r="C1382" s="2"/>
      <c r="D1382" s="2"/>
      <c r="E1382" s="5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4"/>
      <c r="B1383" s="2"/>
      <c r="C1383" s="2"/>
      <c r="D1383" s="2"/>
      <c r="E1383" s="5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4"/>
      <c r="B1384" s="2"/>
      <c r="C1384" s="2"/>
      <c r="D1384" s="2"/>
      <c r="E1384" s="5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4"/>
      <c r="B1385" s="2"/>
      <c r="C1385" s="2"/>
      <c r="D1385" s="2"/>
      <c r="E1385" s="5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4"/>
      <c r="B1386" s="2"/>
      <c r="C1386" s="2"/>
      <c r="D1386" s="2"/>
      <c r="E1386" s="5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4"/>
      <c r="B1387" s="2"/>
      <c r="C1387" s="2"/>
      <c r="D1387" s="2"/>
      <c r="E1387" s="5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4"/>
      <c r="B1388" s="2"/>
      <c r="C1388" s="2"/>
      <c r="D1388" s="2"/>
      <c r="E1388" s="5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4"/>
      <c r="B1389" s="2"/>
      <c r="C1389" s="2"/>
      <c r="D1389" s="2"/>
      <c r="E1389" s="5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4"/>
      <c r="B1390" s="2"/>
      <c r="C1390" s="2"/>
      <c r="D1390" s="2"/>
      <c r="E1390" s="5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4"/>
      <c r="B1391" s="2"/>
      <c r="C1391" s="2"/>
      <c r="D1391" s="2"/>
      <c r="E1391" s="5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4"/>
      <c r="B1392" s="2"/>
      <c r="C1392" s="2"/>
      <c r="D1392" s="2"/>
      <c r="E1392" s="5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4"/>
      <c r="B1393" s="2"/>
      <c r="C1393" s="2"/>
      <c r="D1393" s="2"/>
      <c r="E1393" s="5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4"/>
      <c r="B1394" s="2"/>
      <c r="C1394" s="2"/>
      <c r="D1394" s="2"/>
      <c r="E1394" s="5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4"/>
      <c r="B1395" s="2"/>
      <c r="C1395" s="2"/>
      <c r="D1395" s="2"/>
      <c r="E1395" s="5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4"/>
      <c r="B1396" s="2"/>
      <c r="C1396" s="2"/>
      <c r="D1396" s="2"/>
      <c r="E1396" s="5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4"/>
      <c r="B1397" s="2"/>
      <c r="C1397" s="2"/>
      <c r="D1397" s="2"/>
      <c r="E1397" s="5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4"/>
      <c r="B1398" s="2"/>
      <c r="C1398" s="2"/>
      <c r="D1398" s="2"/>
      <c r="E1398" s="5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4"/>
      <c r="B1399" s="2"/>
      <c r="C1399" s="2"/>
      <c r="D1399" s="2"/>
      <c r="E1399" s="5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4"/>
      <c r="B1400" s="2"/>
      <c r="C1400" s="2"/>
      <c r="D1400" s="2"/>
      <c r="E1400" s="5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4"/>
      <c r="B1401" s="2"/>
      <c r="C1401" s="2"/>
      <c r="D1401" s="2"/>
      <c r="E1401" s="5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4"/>
      <c r="B1402" s="2"/>
      <c r="C1402" s="2"/>
      <c r="D1402" s="2"/>
      <c r="E1402" s="5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4"/>
      <c r="B1403" s="2"/>
      <c r="C1403" s="2"/>
      <c r="D1403" s="2"/>
      <c r="E1403" s="5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4"/>
      <c r="B1404" s="2"/>
      <c r="C1404" s="2"/>
      <c r="D1404" s="2"/>
      <c r="E1404" s="5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4"/>
      <c r="B1405" s="2"/>
      <c r="C1405" s="2"/>
      <c r="D1405" s="2"/>
      <c r="E1405" s="5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4"/>
      <c r="B1406" s="2"/>
      <c r="C1406" s="2"/>
      <c r="D1406" s="2"/>
      <c r="E1406" s="5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4"/>
      <c r="B1407" s="2"/>
      <c r="C1407" s="2"/>
      <c r="D1407" s="2"/>
      <c r="E1407" s="5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4"/>
      <c r="B1408" s="2"/>
      <c r="C1408" s="2"/>
      <c r="D1408" s="2"/>
      <c r="E1408" s="5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4"/>
      <c r="B1409" s="2"/>
      <c r="C1409" s="2"/>
      <c r="D1409" s="2"/>
      <c r="E1409" s="5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4"/>
      <c r="B1410" s="2"/>
      <c r="C1410" s="2"/>
      <c r="D1410" s="2"/>
      <c r="E1410" s="5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4"/>
      <c r="B1411" s="2"/>
      <c r="C1411" s="2"/>
      <c r="D1411" s="2"/>
      <c r="E1411" s="5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4"/>
      <c r="B1412" s="2"/>
      <c r="C1412" s="2"/>
      <c r="D1412" s="2"/>
      <c r="E1412" s="5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4"/>
      <c r="B1413" s="2"/>
      <c r="C1413" s="2"/>
      <c r="D1413" s="2"/>
      <c r="E1413" s="5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4"/>
      <c r="B1414" s="2"/>
      <c r="C1414" s="2"/>
      <c r="D1414" s="2"/>
      <c r="E1414" s="5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4"/>
      <c r="B1415" s="2"/>
      <c r="C1415" s="2"/>
      <c r="D1415" s="2"/>
      <c r="E1415" s="5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4"/>
      <c r="B1416" s="2"/>
      <c r="C1416" s="2"/>
      <c r="D1416" s="2"/>
      <c r="E1416" s="5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4"/>
      <c r="B1417" s="2"/>
      <c r="C1417" s="2"/>
      <c r="D1417" s="2"/>
      <c r="E1417" s="5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4"/>
      <c r="B1418" s="2"/>
      <c r="C1418" s="2"/>
      <c r="D1418" s="2"/>
      <c r="E1418" s="5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4"/>
      <c r="B1419" s="2"/>
      <c r="C1419" s="2"/>
      <c r="D1419" s="2"/>
      <c r="E1419" s="5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4"/>
      <c r="B1420" s="2"/>
      <c r="C1420" s="2"/>
      <c r="D1420" s="2"/>
      <c r="E1420" s="5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4"/>
      <c r="B1421" s="2"/>
      <c r="C1421" s="2"/>
      <c r="D1421" s="2"/>
      <c r="E1421" s="5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4"/>
      <c r="B1422" s="2"/>
      <c r="C1422" s="2"/>
      <c r="D1422" s="2"/>
      <c r="E1422" s="5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4"/>
      <c r="B1423" s="2"/>
      <c r="C1423" s="2"/>
      <c r="D1423" s="2"/>
      <c r="E1423" s="5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4"/>
      <c r="B1424" s="2"/>
      <c r="C1424" s="2"/>
      <c r="D1424" s="2"/>
      <c r="E1424" s="5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4"/>
      <c r="B1425" s="2"/>
      <c r="C1425" s="2"/>
      <c r="D1425" s="2"/>
      <c r="E1425" s="5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4"/>
      <c r="B1426" s="2"/>
      <c r="C1426" s="2"/>
      <c r="D1426" s="2"/>
      <c r="E1426" s="5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4"/>
      <c r="B1427" s="2"/>
      <c r="C1427" s="2"/>
      <c r="D1427" s="2"/>
      <c r="E1427" s="5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4"/>
      <c r="B1428" s="2"/>
      <c r="C1428" s="2"/>
      <c r="D1428" s="2"/>
      <c r="E1428" s="5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4"/>
      <c r="B1429" s="2"/>
      <c r="C1429" s="2"/>
      <c r="D1429" s="2"/>
      <c r="E1429" s="5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4"/>
      <c r="B1430" s="2"/>
      <c r="C1430" s="2"/>
      <c r="D1430" s="2"/>
      <c r="E1430" s="5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4"/>
      <c r="B1431" s="2"/>
      <c r="C1431" s="2"/>
      <c r="D1431" s="2"/>
      <c r="E1431" s="5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4"/>
      <c r="B1432" s="2"/>
      <c r="C1432" s="2"/>
      <c r="D1432" s="2"/>
      <c r="E1432" s="5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4"/>
      <c r="B1433" s="2"/>
      <c r="C1433" s="2"/>
      <c r="D1433" s="2"/>
      <c r="E1433" s="5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4"/>
      <c r="B1434" s="2"/>
      <c r="C1434" s="2"/>
      <c r="D1434" s="2"/>
      <c r="E1434" s="5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4"/>
      <c r="B1435" s="2"/>
      <c r="C1435" s="2"/>
      <c r="D1435" s="2"/>
      <c r="E1435" s="5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4"/>
      <c r="B1436" s="2"/>
      <c r="C1436" s="2"/>
      <c r="D1436" s="2"/>
      <c r="E1436" s="5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4"/>
      <c r="B1437" s="2"/>
      <c r="C1437" s="2"/>
      <c r="D1437" s="2"/>
      <c r="E1437" s="5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4"/>
      <c r="B1438" s="2"/>
      <c r="C1438" s="2"/>
      <c r="D1438" s="2"/>
      <c r="E1438" s="5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4"/>
      <c r="B1439" s="2"/>
      <c r="C1439" s="2"/>
      <c r="D1439" s="2"/>
      <c r="E1439" s="5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4"/>
      <c r="B1440" s="2"/>
      <c r="C1440" s="2"/>
      <c r="D1440" s="2"/>
      <c r="E1440" s="5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4"/>
      <c r="B1441" s="2"/>
      <c r="C1441" s="2"/>
      <c r="D1441" s="2"/>
      <c r="E1441" s="5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4"/>
      <c r="B1442" s="2"/>
      <c r="C1442" s="2"/>
      <c r="D1442" s="2"/>
      <c r="E1442" s="5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4"/>
      <c r="B1443" s="2"/>
      <c r="C1443" s="2"/>
      <c r="D1443" s="2"/>
      <c r="E1443" s="5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4"/>
      <c r="B1444" s="2"/>
      <c r="C1444" s="2"/>
      <c r="D1444" s="2"/>
      <c r="E1444" s="5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4"/>
      <c r="B1445" s="2"/>
      <c r="C1445" s="2"/>
      <c r="D1445" s="2"/>
      <c r="E1445" s="5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4"/>
      <c r="B1446" s="2"/>
      <c r="C1446" s="2"/>
      <c r="D1446" s="2"/>
      <c r="E1446" s="5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4"/>
      <c r="B1447" s="2"/>
      <c r="C1447" s="2"/>
      <c r="D1447" s="2"/>
      <c r="E1447" s="5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4"/>
      <c r="B1448" s="2"/>
      <c r="C1448" s="2"/>
      <c r="D1448" s="2"/>
      <c r="E1448" s="5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4"/>
      <c r="B1449" s="2"/>
      <c r="C1449" s="2"/>
      <c r="D1449" s="2"/>
      <c r="E1449" s="5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4"/>
      <c r="B1450" s="2"/>
      <c r="C1450" s="2"/>
      <c r="D1450" s="2"/>
      <c r="E1450" s="5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4"/>
      <c r="B1451" s="2"/>
      <c r="C1451" s="2"/>
      <c r="D1451" s="2"/>
      <c r="E1451" s="5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4"/>
      <c r="B1452" s="2"/>
      <c r="C1452" s="2"/>
      <c r="D1452" s="2"/>
      <c r="E1452" s="5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4"/>
      <c r="B1453" s="2"/>
      <c r="C1453" s="2"/>
      <c r="D1453" s="2"/>
      <c r="E1453" s="5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4"/>
      <c r="B1454" s="2"/>
      <c r="C1454" s="2"/>
      <c r="D1454" s="2"/>
      <c r="E1454" s="5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4"/>
      <c r="B1455" s="2"/>
      <c r="C1455" s="2"/>
      <c r="D1455" s="2"/>
      <c r="E1455" s="5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4"/>
      <c r="B1456" s="2"/>
      <c r="C1456" s="2"/>
      <c r="D1456" s="2"/>
      <c r="E1456" s="5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4"/>
      <c r="B1457" s="2"/>
      <c r="C1457" s="2"/>
      <c r="D1457" s="2"/>
      <c r="E1457" s="5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4"/>
      <c r="B1458" s="2"/>
      <c r="C1458" s="2"/>
      <c r="D1458" s="2"/>
      <c r="E1458" s="5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4"/>
      <c r="B1459" s="2"/>
      <c r="C1459" s="2"/>
      <c r="D1459" s="2"/>
      <c r="E1459" s="5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4"/>
      <c r="B1460" s="2"/>
      <c r="C1460" s="2"/>
      <c r="D1460" s="2"/>
      <c r="E1460" s="5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4"/>
      <c r="B1461" s="2"/>
      <c r="C1461" s="2"/>
      <c r="D1461" s="2"/>
      <c r="E1461" s="5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4"/>
      <c r="B1462" s="2"/>
      <c r="C1462" s="2"/>
      <c r="D1462" s="2"/>
      <c r="E1462" s="5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4"/>
      <c r="B1463" s="2"/>
      <c r="C1463" s="2"/>
      <c r="D1463" s="2"/>
      <c r="E1463" s="5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4"/>
      <c r="B1464" s="2"/>
      <c r="C1464" s="2"/>
      <c r="D1464" s="2"/>
      <c r="E1464" s="5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4"/>
      <c r="B1465" s="2"/>
      <c r="C1465" s="2"/>
      <c r="D1465" s="2"/>
      <c r="E1465" s="5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4"/>
      <c r="B1466" s="2"/>
      <c r="C1466" s="2"/>
      <c r="D1466" s="2"/>
      <c r="E1466" s="5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4"/>
      <c r="B1467" s="2"/>
      <c r="C1467" s="2"/>
      <c r="D1467" s="2"/>
      <c r="E1467" s="5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4"/>
      <c r="B1468" s="2"/>
      <c r="C1468" s="2"/>
      <c r="D1468" s="2"/>
      <c r="E1468" s="5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4"/>
      <c r="B1469" s="2"/>
      <c r="C1469" s="2"/>
      <c r="D1469" s="2"/>
      <c r="E1469" s="5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4"/>
      <c r="B1470" s="2"/>
      <c r="C1470" s="2"/>
      <c r="D1470" s="2"/>
      <c r="E1470" s="5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4"/>
      <c r="B1471" s="2"/>
      <c r="C1471" s="2"/>
      <c r="D1471" s="2"/>
      <c r="E1471" s="5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4"/>
      <c r="B1472" s="2"/>
      <c r="C1472" s="2"/>
      <c r="D1472" s="2"/>
      <c r="E1472" s="5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4"/>
      <c r="B1473" s="2"/>
      <c r="C1473" s="2"/>
      <c r="D1473" s="2"/>
      <c r="E1473" s="5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4"/>
      <c r="B1474" s="2"/>
      <c r="C1474" s="2"/>
      <c r="D1474" s="2"/>
      <c r="E1474" s="5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4"/>
      <c r="B1475" s="2"/>
      <c r="C1475" s="2"/>
      <c r="D1475" s="2"/>
      <c r="E1475" s="5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4"/>
      <c r="B1476" s="2"/>
      <c r="C1476" s="2"/>
      <c r="D1476" s="2"/>
      <c r="E1476" s="5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4"/>
      <c r="B1477" s="2"/>
      <c r="C1477" s="2"/>
      <c r="D1477" s="2"/>
      <c r="E1477" s="5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4"/>
      <c r="B1478" s="2"/>
      <c r="C1478" s="2"/>
      <c r="D1478" s="2"/>
      <c r="E1478" s="5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4"/>
      <c r="B1479" s="2"/>
      <c r="C1479" s="2"/>
      <c r="D1479" s="2"/>
      <c r="E1479" s="5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4"/>
      <c r="B1480" s="2"/>
      <c r="C1480" s="2"/>
      <c r="D1480" s="2"/>
      <c r="E1480" s="5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4"/>
      <c r="B1481" s="2"/>
      <c r="C1481" s="2"/>
      <c r="D1481" s="2"/>
      <c r="E1481" s="5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4"/>
      <c r="B1482" s="2"/>
      <c r="C1482" s="2"/>
      <c r="D1482" s="2"/>
      <c r="E1482" s="5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4"/>
      <c r="B1483" s="2"/>
      <c r="C1483" s="2"/>
      <c r="D1483" s="2"/>
      <c r="E1483" s="5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4"/>
      <c r="B1484" s="2"/>
      <c r="C1484" s="2"/>
      <c r="D1484" s="2"/>
      <c r="E1484" s="5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4"/>
      <c r="B1485" s="2"/>
      <c r="C1485" s="2"/>
      <c r="D1485" s="2"/>
      <c r="E1485" s="5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4"/>
      <c r="B1486" s="2"/>
      <c r="C1486" s="2"/>
      <c r="D1486" s="2"/>
      <c r="E1486" s="5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4"/>
      <c r="B1487" s="2"/>
      <c r="C1487" s="2"/>
      <c r="D1487" s="2"/>
      <c r="E1487" s="5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4"/>
      <c r="B1488" s="2"/>
      <c r="C1488" s="2"/>
      <c r="D1488" s="2"/>
      <c r="E1488" s="5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4"/>
      <c r="B1489" s="2"/>
      <c r="C1489" s="2"/>
      <c r="D1489" s="2"/>
      <c r="E1489" s="5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4"/>
      <c r="B1490" s="2"/>
      <c r="C1490" s="2"/>
      <c r="D1490" s="2"/>
      <c r="E1490" s="5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4"/>
      <c r="B1491" s="2"/>
      <c r="C1491" s="2"/>
      <c r="D1491" s="2"/>
      <c r="E1491" s="5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4"/>
      <c r="B1492" s="2"/>
      <c r="C1492" s="2"/>
      <c r="D1492" s="2"/>
      <c r="E1492" s="5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4"/>
      <c r="B1493" s="2"/>
      <c r="C1493" s="2"/>
      <c r="D1493" s="2"/>
      <c r="E1493" s="5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4"/>
      <c r="B1494" s="2"/>
      <c r="C1494" s="2"/>
      <c r="D1494" s="2"/>
      <c r="E1494" s="5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4"/>
      <c r="B1495" s="2"/>
      <c r="C1495" s="2"/>
      <c r="D1495" s="2"/>
      <c r="E1495" s="5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4"/>
      <c r="B1496" s="2"/>
      <c r="C1496" s="2"/>
      <c r="D1496" s="2"/>
      <c r="E1496" s="5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4"/>
      <c r="B1497" s="2"/>
      <c r="C1497" s="2"/>
      <c r="D1497" s="2"/>
      <c r="E1497" s="5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4"/>
      <c r="B1498" s="2"/>
      <c r="C1498" s="2"/>
      <c r="D1498" s="2"/>
      <c r="E1498" s="5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4"/>
      <c r="B1499" s="2"/>
      <c r="C1499" s="2"/>
      <c r="D1499" s="2"/>
      <c r="E1499" s="5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4"/>
      <c r="B1500" s="2"/>
      <c r="C1500" s="2"/>
      <c r="D1500" s="2"/>
      <c r="E1500" s="5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4"/>
      <c r="B1501" s="2"/>
      <c r="C1501" s="2"/>
      <c r="D1501" s="2"/>
      <c r="E1501" s="5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4"/>
      <c r="B1502" s="2"/>
      <c r="C1502" s="2"/>
      <c r="D1502" s="2"/>
      <c r="E1502" s="5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4"/>
      <c r="B1503" s="2"/>
      <c r="C1503" s="2"/>
      <c r="D1503" s="2"/>
      <c r="E1503" s="5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4"/>
      <c r="B1504" s="2"/>
      <c r="C1504" s="2"/>
      <c r="D1504" s="2"/>
      <c r="E1504" s="5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4"/>
      <c r="B1505" s="2"/>
      <c r="C1505" s="2"/>
      <c r="D1505" s="2"/>
      <c r="E1505" s="5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4"/>
      <c r="B1506" s="2"/>
      <c r="C1506" s="2"/>
      <c r="D1506" s="2"/>
      <c r="E1506" s="5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4"/>
      <c r="B1507" s="2"/>
      <c r="C1507" s="2"/>
      <c r="D1507" s="2"/>
      <c r="E1507" s="5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4"/>
      <c r="B1508" s="2"/>
      <c r="C1508" s="2"/>
      <c r="D1508" s="2"/>
      <c r="E1508" s="5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4"/>
      <c r="B1509" s="2"/>
      <c r="C1509" s="2"/>
      <c r="D1509" s="2"/>
      <c r="E1509" s="5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4"/>
      <c r="B1510" s="2"/>
      <c r="C1510" s="2"/>
      <c r="D1510" s="2"/>
      <c r="E1510" s="5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4"/>
      <c r="B1511" s="2"/>
      <c r="C1511" s="2"/>
      <c r="D1511" s="2"/>
      <c r="E1511" s="5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4"/>
      <c r="B1512" s="2"/>
      <c r="C1512" s="2"/>
      <c r="D1512" s="2"/>
      <c r="E1512" s="5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4"/>
      <c r="B1513" s="2"/>
      <c r="C1513" s="2"/>
      <c r="D1513" s="2"/>
      <c r="E1513" s="5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4"/>
      <c r="B1514" s="2"/>
      <c r="C1514" s="2"/>
      <c r="D1514" s="2"/>
      <c r="E1514" s="5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4"/>
      <c r="B1515" s="2"/>
      <c r="C1515" s="2"/>
      <c r="D1515" s="2"/>
      <c r="E1515" s="5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4"/>
      <c r="B1516" s="2"/>
      <c r="C1516" s="2"/>
      <c r="D1516" s="2"/>
      <c r="E1516" s="5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4"/>
      <c r="B1517" s="2"/>
      <c r="C1517" s="2"/>
      <c r="D1517" s="2"/>
      <c r="E1517" s="5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4"/>
      <c r="B1518" s="2"/>
      <c r="C1518" s="2"/>
      <c r="D1518" s="2"/>
      <c r="E1518" s="5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4"/>
      <c r="B1519" s="2"/>
      <c r="C1519" s="2"/>
      <c r="D1519" s="2"/>
      <c r="E1519" s="5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4"/>
      <c r="B1520" s="2"/>
      <c r="C1520" s="2"/>
      <c r="D1520" s="2"/>
      <c r="E1520" s="5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4"/>
      <c r="B1521" s="2"/>
      <c r="C1521" s="2"/>
      <c r="D1521" s="2"/>
      <c r="E1521" s="5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4"/>
      <c r="B1522" s="2"/>
      <c r="C1522" s="2"/>
      <c r="D1522" s="2"/>
      <c r="E1522" s="5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4"/>
      <c r="B1523" s="2"/>
      <c r="C1523" s="2"/>
      <c r="D1523" s="2"/>
      <c r="E1523" s="5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4"/>
      <c r="B1524" s="2"/>
      <c r="C1524" s="2"/>
      <c r="D1524" s="2"/>
      <c r="E1524" s="5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4"/>
      <c r="B1525" s="2"/>
      <c r="C1525" s="2"/>
      <c r="D1525" s="2"/>
      <c r="E1525" s="5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4"/>
      <c r="B1526" s="2"/>
      <c r="C1526" s="2"/>
      <c r="D1526" s="2"/>
      <c r="E1526" s="5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4"/>
      <c r="B1527" s="2"/>
      <c r="C1527" s="2"/>
      <c r="D1527" s="2"/>
      <c r="E1527" s="5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4"/>
      <c r="B1528" s="2"/>
      <c r="C1528" s="2"/>
      <c r="D1528" s="2"/>
      <c r="E1528" s="5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4"/>
      <c r="B1529" s="2"/>
      <c r="C1529" s="2"/>
      <c r="D1529" s="2"/>
      <c r="E1529" s="5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4"/>
      <c r="B1530" s="2"/>
      <c r="C1530" s="2"/>
      <c r="D1530" s="2"/>
      <c r="E1530" s="5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4"/>
      <c r="B1531" s="2"/>
      <c r="C1531" s="2"/>
      <c r="D1531" s="2"/>
      <c r="E1531" s="5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4"/>
      <c r="B1532" s="2"/>
      <c r="C1532" s="2"/>
      <c r="D1532" s="2"/>
      <c r="E1532" s="5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4"/>
      <c r="B1533" s="2"/>
      <c r="C1533" s="2"/>
      <c r="D1533" s="2"/>
      <c r="E1533" s="5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4"/>
      <c r="B1534" s="2"/>
      <c r="C1534" s="2"/>
      <c r="D1534" s="2"/>
      <c r="E1534" s="5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4"/>
      <c r="B1535" s="2"/>
      <c r="C1535" s="2"/>
      <c r="D1535" s="2"/>
      <c r="E1535" s="5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4"/>
      <c r="B1536" s="2"/>
      <c r="C1536" s="2"/>
      <c r="D1536" s="2"/>
      <c r="E1536" s="5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4"/>
      <c r="B1537" s="2"/>
      <c r="C1537" s="2"/>
      <c r="D1537" s="2"/>
      <c r="E1537" s="5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4"/>
      <c r="B1538" s="2"/>
      <c r="C1538" s="2"/>
      <c r="D1538" s="2"/>
      <c r="E1538" s="5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4"/>
      <c r="B1539" s="2"/>
      <c r="C1539" s="2"/>
      <c r="D1539" s="2"/>
      <c r="E1539" s="5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4"/>
      <c r="B1540" s="2"/>
      <c r="C1540" s="2"/>
      <c r="D1540" s="2"/>
      <c r="E1540" s="5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4"/>
      <c r="B1541" s="2"/>
      <c r="C1541" s="2"/>
      <c r="D1541" s="2"/>
      <c r="E1541" s="5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4"/>
      <c r="B1542" s="2"/>
      <c r="C1542" s="2"/>
      <c r="D1542" s="2"/>
      <c r="E1542" s="5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4"/>
      <c r="B1543" s="2"/>
      <c r="C1543" s="2"/>
      <c r="D1543" s="2"/>
      <c r="E1543" s="5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4"/>
      <c r="B1544" s="2"/>
      <c r="C1544" s="2"/>
      <c r="D1544" s="2"/>
      <c r="E1544" s="5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4"/>
      <c r="B1545" s="2"/>
      <c r="C1545" s="2"/>
      <c r="D1545" s="2"/>
      <c r="E1545" s="5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4"/>
      <c r="B1546" s="2"/>
      <c r="C1546" s="2"/>
      <c r="D1546" s="2"/>
      <c r="E1546" s="5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4"/>
      <c r="B1547" s="2"/>
      <c r="C1547" s="2"/>
      <c r="D1547" s="2"/>
      <c r="E1547" s="5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4"/>
      <c r="B1548" s="2"/>
      <c r="C1548" s="2"/>
      <c r="D1548" s="2"/>
      <c r="E1548" s="5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4"/>
      <c r="B1549" s="2"/>
      <c r="C1549" s="2"/>
      <c r="D1549" s="2"/>
      <c r="E1549" s="5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4"/>
      <c r="B1550" s="2"/>
      <c r="C1550" s="2"/>
      <c r="D1550" s="2"/>
      <c r="E1550" s="5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4"/>
      <c r="B1551" s="2"/>
      <c r="C1551" s="2"/>
      <c r="D1551" s="2"/>
      <c r="E1551" s="5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4"/>
      <c r="B1552" s="2"/>
      <c r="C1552" s="2"/>
      <c r="D1552" s="2"/>
      <c r="E1552" s="5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4"/>
      <c r="B1553" s="2"/>
      <c r="C1553" s="2"/>
      <c r="D1553" s="2"/>
      <c r="E1553" s="5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4"/>
      <c r="B1554" s="2"/>
      <c r="C1554" s="2"/>
      <c r="D1554" s="2"/>
      <c r="E1554" s="5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4"/>
      <c r="B1555" s="2"/>
      <c r="C1555" s="2"/>
      <c r="D1555" s="2"/>
      <c r="E1555" s="5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4"/>
      <c r="B1556" s="2"/>
      <c r="C1556" s="2"/>
      <c r="D1556" s="2"/>
      <c r="E1556" s="5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4"/>
      <c r="B1557" s="2"/>
      <c r="C1557" s="2"/>
      <c r="D1557" s="2"/>
      <c r="E1557" s="5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4"/>
      <c r="B1558" s="2"/>
      <c r="C1558" s="2"/>
      <c r="D1558" s="2"/>
      <c r="E1558" s="5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4"/>
      <c r="B1559" s="2"/>
      <c r="C1559" s="2"/>
      <c r="D1559" s="2"/>
      <c r="E1559" s="5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4"/>
      <c r="B1560" s="2"/>
      <c r="C1560" s="2"/>
      <c r="D1560" s="2"/>
      <c r="E1560" s="5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4"/>
      <c r="B1561" s="2"/>
      <c r="C1561" s="2"/>
      <c r="D1561" s="2"/>
      <c r="E1561" s="5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4"/>
      <c r="B1562" s="2"/>
      <c r="C1562" s="2"/>
      <c r="D1562" s="2"/>
      <c r="E1562" s="5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4"/>
      <c r="B1563" s="2"/>
      <c r="C1563" s="2"/>
      <c r="D1563" s="2"/>
      <c r="E1563" s="5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4"/>
      <c r="B1564" s="2"/>
      <c r="C1564" s="2"/>
      <c r="D1564" s="2"/>
      <c r="E1564" s="5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4"/>
      <c r="B1565" s="2"/>
      <c r="C1565" s="2"/>
      <c r="D1565" s="2"/>
      <c r="E1565" s="5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4"/>
      <c r="B1566" s="2"/>
      <c r="C1566" s="2"/>
      <c r="D1566" s="2"/>
      <c r="E1566" s="5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4"/>
      <c r="B1567" s="2"/>
      <c r="C1567" s="2"/>
      <c r="D1567" s="2"/>
      <c r="E1567" s="5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4"/>
      <c r="B1568" s="2"/>
      <c r="C1568" s="2"/>
      <c r="D1568" s="2"/>
      <c r="E1568" s="5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4"/>
      <c r="B1569" s="2"/>
      <c r="C1569" s="2"/>
      <c r="D1569" s="2"/>
      <c r="E1569" s="5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4"/>
      <c r="B1570" s="2"/>
      <c r="C1570" s="2"/>
      <c r="D1570" s="2"/>
      <c r="E1570" s="5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4"/>
      <c r="B1571" s="2"/>
      <c r="C1571" s="2"/>
      <c r="D1571" s="2"/>
      <c r="E1571" s="5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4"/>
      <c r="B1572" s="2"/>
      <c r="C1572" s="2"/>
      <c r="D1572" s="2"/>
      <c r="E1572" s="5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4"/>
      <c r="B1573" s="2"/>
      <c r="C1573" s="2"/>
      <c r="D1573" s="2"/>
      <c r="E1573" s="5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4"/>
      <c r="B1574" s="2"/>
      <c r="C1574" s="2"/>
      <c r="D1574" s="2"/>
      <c r="E1574" s="5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4"/>
      <c r="B1575" s="2"/>
      <c r="C1575" s="2"/>
      <c r="D1575" s="2"/>
      <c r="E1575" s="5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4"/>
      <c r="B1576" s="2"/>
      <c r="C1576" s="2"/>
      <c r="D1576" s="2"/>
      <c r="E1576" s="5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4"/>
      <c r="B1577" s="2"/>
      <c r="C1577" s="2"/>
      <c r="D1577" s="2"/>
      <c r="E1577" s="5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4"/>
      <c r="B1578" s="2"/>
      <c r="C1578" s="2"/>
      <c r="D1578" s="2"/>
      <c r="E1578" s="5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4"/>
      <c r="B1579" s="2"/>
      <c r="C1579" s="2"/>
      <c r="D1579" s="2"/>
      <c r="E1579" s="5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4"/>
      <c r="B1580" s="2"/>
      <c r="C1580" s="2"/>
      <c r="D1580" s="2"/>
      <c r="E1580" s="5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4"/>
      <c r="B1581" s="2"/>
      <c r="C1581" s="2"/>
      <c r="D1581" s="2"/>
      <c r="E1581" s="5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4"/>
      <c r="B1582" s="2"/>
      <c r="C1582" s="2"/>
      <c r="D1582" s="2"/>
      <c r="E1582" s="5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4"/>
      <c r="B1583" s="2"/>
      <c r="C1583" s="2"/>
      <c r="D1583" s="2"/>
      <c r="E1583" s="5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4"/>
      <c r="B1584" s="2"/>
      <c r="C1584" s="2"/>
      <c r="D1584" s="2"/>
      <c r="E1584" s="5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4"/>
      <c r="B1585" s="2"/>
      <c r="C1585" s="2"/>
      <c r="D1585" s="2"/>
      <c r="E1585" s="5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4"/>
      <c r="B1586" s="2"/>
      <c r="C1586" s="2"/>
      <c r="D1586" s="2"/>
      <c r="E1586" s="5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4"/>
      <c r="B1587" s="2"/>
      <c r="C1587" s="2"/>
      <c r="D1587" s="2"/>
      <c r="E1587" s="5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4"/>
      <c r="B1588" s="2"/>
      <c r="C1588" s="2"/>
      <c r="D1588" s="2"/>
      <c r="E1588" s="5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4"/>
      <c r="B1589" s="2"/>
      <c r="C1589" s="2"/>
      <c r="D1589" s="2"/>
      <c r="E1589" s="5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4"/>
      <c r="B1590" s="2"/>
      <c r="C1590" s="2"/>
      <c r="D1590" s="2"/>
      <c r="E1590" s="5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4"/>
      <c r="B1591" s="2"/>
      <c r="C1591" s="2"/>
      <c r="D1591" s="2"/>
      <c r="E1591" s="5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4"/>
      <c r="B1592" s="2"/>
      <c r="C1592" s="2"/>
      <c r="D1592" s="2"/>
      <c r="E1592" s="5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4"/>
      <c r="B1593" s="2"/>
      <c r="C1593" s="2"/>
      <c r="D1593" s="2"/>
      <c r="E1593" s="5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4"/>
      <c r="B1594" s="2"/>
      <c r="C1594" s="2"/>
      <c r="D1594" s="2"/>
      <c r="E1594" s="5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4"/>
      <c r="B1595" s="2"/>
      <c r="C1595" s="2"/>
      <c r="D1595" s="2"/>
      <c r="E1595" s="5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4"/>
      <c r="B1596" s="2"/>
      <c r="C1596" s="2"/>
      <c r="D1596" s="2"/>
      <c r="E1596" s="5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4"/>
      <c r="B1597" s="2"/>
      <c r="C1597" s="2"/>
      <c r="D1597" s="2"/>
      <c r="E1597" s="5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4"/>
      <c r="B1598" s="2"/>
      <c r="C1598" s="2"/>
      <c r="D1598" s="2"/>
      <c r="E1598" s="5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4"/>
      <c r="B1599" s="2"/>
      <c r="C1599" s="2"/>
      <c r="D1599" s="2"/>
      <c r="E1599" s="5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4"/>
      <c r="B1600" s="2"/>
      <c r="C1600" s="2"/>
      <c r="D1600" s="2"/>
      <c r="E1600" s="5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4"/>
      <c r="B1601" s="2"/>
      <c r="C1601" s="2"/>
      <c r="D1601" s="2"/>
      <c r="E1601" s="5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4"/>
      <c r="B1602" s="2"/>
      <c r="C1602" s="2"/>
      <c r="D1602" s="2"/>
      <c r="E1602" s="5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4"/>
      <c r="B1603" s="2"/>
      <c r="C1603" s="2"/>
      <c r="D1603" s="2"/>
      <c r="E1603" s="5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4"/>
      <c r="B1604" s="2"/>
      <c r="C1604" s="2"/>
      <c r="D1604" s="2"/>
      <c r="E1604" s="5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4"/>
      <c r="B1605" s="2"/>
      <c r="C1605" s="2"/>
      <c r="D1605" s="2"/>
      <c r="E1605" s="5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4"/>
      <c r="B1606" s="2"/>
      <c r="C1606" s="2"/>
      <c r="D1606" s="2"/>
      <c r="E1606" s="5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4"/>
      <c r="B1607" s="2"/>
      <c r="C1607" s="2"/>
      <c r="D1607" s="2"/>
      <c r="E1607" s="5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4"/>
      <c r="B1608" s="2"/>
      <c r="C1608" s="2"/>
      <c r="D1608" s="2"/>
      <c r="E1608" s="5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4"/>
      <c r="B1609" s="2"/>
      <c r="C1609" s="2"/>
      <c r="D1609" s="2"/>
      <c r="E1609" s="5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4"/>
      <c r="B1610" s="2"/>
      <c r="C1610" s="2"/>
      <c r="D1610" s="2"/>
      <c r="E1610" s="5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4"/>
      <c r="B1611" s="2"/>
      <c r="C1611" s="2"/>
      <c r="D1611" s="2"/>
      <c r="E1611" s="5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4"/>
      <c r="B1612" s="2"/>
      <c r="C1612" s="2"/>
      <c r="D1612" s="2"/>
      <c r="E1612" s="5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4"/>
      <c r="B1613" s="2"/>
      <c r="C1613" s="2"/>
      <c r="D1613" s="2"/>
      <c r="E1613" s="5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4"/>
      <c r="B1614" s="2"/>
      <c r="C1614" s="2"/>
      <c r="D1614" s="2"/>
      <c r="E1614" s="5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4"/>
      <c r="B1615" s="2"/>
      <c r="C1615" s="2"/>
      <c r="D1615" s="2"/>
      <c r="E1615" s="5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4"/>
      <c r="B1616" s="2"/>
      <c r="C1616" s="2"/>
      <c r="D1616" s="2"/>
      <c r="E1616" s="5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4"/>
      <c r="B1617" s="2"/>
      <c r="C1617" s="2"/>
      <c r="D1617" s="2"/>
      <c r="E1617" s="5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4"/>
      <c r="B1618" s="2"/>
      <c r="C1618" s="2"/>
      <c r="D1618" s="2"/>
      <c r="E1618" s="5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4"/>
      <c r="B1619" s="2"/>
      <c r="C1619" s="2"/>
      <c r="D1619" s="2"/>
      <c r="E1619" s="5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4"/>
      <c r="B1620" s="2"/>
      <c r="C1620" s="2"/>
      <c r="D1620" s="2"/>
      <c r="E1620" s="5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4"/>
      <c r="B1621" s="2"/>
      <c r="C1621" s="2"/>
      <c r="D1621" s="2"/>
      <c r="E1621" s="5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4"/>
      <c r="B1622" s="2"/>
      <c r="C1622" s="2"/>
      <c r="D1622" s="2"/>
      <c r="E1622" s="5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4"/>
      <c r="B1623" s="2"/>
      <c r="C1623" s="2"/>
      <c r="D1623" s="2"/>
      <c r="E1623" s="5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4"/>
      <c r="B1624" s="2"/>
      <c r="C1624" s="2"/>
      <c r="D1624" s="2"/>
      <c r="E1624" s="5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4"/>
      <c r="B1625" s="2"/>
      <c r="C1625" s="2"/>
      <c r="D1625" s="2"/>
      <c r="E1625" s="5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4"/>
      <c r="B1626" s="2"/>
      <c r="C1626" s="2"/>
      <c r="D1626" s="2"/>
      <c r="E1626" s="5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4"/>
      <c r="B1627" s="2"/>
      <c r="C1627" s="2"/>
      <c r="D1627" s="2"/>
      <c r="E1627" s="5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4"/>
      <c r="B1628" s="2"/>
      <c r="C1628" s="2"/>
      <c r="D1628" s="2"/>
      <c r="E1628" s="5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4"/>
      <c r="B1629" s="2"/>
      <c r="C1629" s="2"/>
      <c r="D1629" s="2"/>
      <c r="E1629" s="5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4"/>
      <c r="B1630" s="2"/>
      <c r="C1630" s="2"/>
      <c r="D1630" s="2"/>
      <c r="E1630" s="5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4"/>
      <c r="B1631" s="2"/>
      <c r="C1631" s="2"/>
      <c r="D1631" s="2"/>
      <c r="E1631" s="5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4"/>
      <c r="B1632" s="2"/>
      <c r="C1632" s="2"/>
      <c r="D1632" s="2"/>
      <c r="E1632" s="5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4"/>
      <c r="B1633" s="2"/>
      <c r="C1633" s="2"/>
      <c r="D1633" s="2"/>
      <c r="E1633" s="5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4"/>
      <c r="B1634" s="2"/>
      <c r="C1634" s="2"/>
      <c r="D1634" s="2"/>
      <c r="E1634" s="5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4"/>
      <c r="B1635" s="2"/>
      <c r="C1635" s="2"/>
      <c r="D1635" s="2"/>
      <c r="E1635" s="5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4"/>
      <c r="B1636" s="2"/>
      <c r="C1636" s="2"/>
      <c r="D1636" s="2"/>
      <c r="E1636" s="5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4"/>
      <c r="B1637" s="2"/>
      <c r="C1637" s="2"/>
      <c r="D1637" s="2"/>
      <c r="E1637" s="5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4"/>
      <c r="B1638" s="2"/>
      <c r="C1638" s="2"/>
      <c r="D1638" s="2"/>
      <c r="E1638" s="5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4"/>
      <c r="B1639" s="2"/>
      <c r="C1639" s="2"/>
      <c r="D1639" s="2"/>
      <c r="E1639" s="5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4"/>
      <c r="B1640" s="2"/>
      <c r="C1640" s="2"/>
      <c r="D1640" s="2"/>
      <c r="E1640" s="5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4"/>
      <c r="B1641" s="2"/>
      <c r="C1641" s="2"/>
      <c r="D1641" s="2"/>
      <c r="E1641" s="5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4"/>
      <c r="B1642" s="2"/>
      <c r="C1642" s="2"/>
      <c r="D1642" s="2"/>
      <c r="E1642" s="5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4"/>
      <c r="B1643" s="2"/>
      <c r="C1643" s="2"/>
      <c r="D1643" s="2"/>
      <c r="E1643" s="5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4"/>
      <c r="B1644" s="2"/>
      <c r="C1644" s="2"/>
      <c r="D1644" s="2"/>
      <c r="E1644" s="5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4"/>
      <c r="B1645" s="2"/>
      <c r="C1645" s="2"/>
      <c r="D1645" s="2"/>
      <c r="E1645" s="5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4"/>
      <c r="B1646" s="2"/>
      <c r="C1646" s="2"/>
      <c r="D1646" s="2"/>
      <c r="E1646" s="5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4"/>
      <c r="B1647" s="2"/>
      <c r="C1647" s="2"/>
      <c r="D1647" s="2"/>
      <c r="E1647" s="5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4"/>
      <c r="B1648" s="2"/>
      <c r="C1648" s="2"/>
      <c r="D1648" s="2"/>
      <c r="E1648" s="5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4"/>
      <c r="B1649" s="2"/>
      <c r="C1649" s="2"/>
      <c r="D1649" s="2"/>
      <c r="E1649" s="5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4"/>
      <c r="B1650" s="2"/>
      <c r="C1650" s="2"/>
      <c r="D1650" s="2"/>
      <c r="E1650" s="5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4"/>
      <c r="B1651" s="2"/>
      <c r="C1651" s="2"/>
      <c r="D1651" s="2"/>
      <c r="E1651" s="5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4"/>
      <c r="B1652" s="2"/>
      <c r="C1652" s="2"/>
      <c r="D1652" s="2"/>
      <c r="E1652" s="5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4"/>
      <c r="B1653" s="2"/>
      <c r="C1653" s="2"/>
      <c r="D1653" s="2"/>
      <c r="E1653" s="5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4"/>
      <c r="B1654" s="2"/>
      <c r="C1654" s="2"/>
      <c r="D1654" s="2"/>
      <c r="E1654" s="5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4"/>
      <c r="B1655" s="2"/>
      <c r="C1655" s="2"/>
      <c r="D1655" s="2"/>
      <c r="E1655" s="5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4"/>
      <c r="B1656" s="2"/>
      <c r="C1656" s="2"/>
      <c r="D1656" s="2"/>
      <c r="E1656" s="5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4"/>
      <c r="B1657" s="2"/>
      <c r="C1657" s="2"/>
      <c r="D1657" s="2"/>
      <c r="E1657" s="5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4"/>
      <c r="B1658" s="2"/>
      <c r="C1658" s="2"/>
      <c r="D1658" s="2"/>
      <c r="E1658" s="5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4"/>
      <c r="B1659" s="2"/>
      <c r="C1659" s="2"/>
      <c r="D1659" s="2"/>
      <c r="E1659" s="5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4"/>
      <c r="B1660" s="2"/>
      <c r="C1660" s="2"/>
      <c r="D1660" s="2"/>
      <c r="E1660" s="5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4"/>
      <c r="B1661" s="2"/>
      <c r="C1661" s="2"/>
      <c r="D1661" s="2"/>
      <c r="E1661" s="5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4"/>
      <c r="B1662" s="2"/>
      <c r="C1662" s="2"/>
      <c r="D1662" s="2"/>
      <c r="E1662" s="5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4"/>
      <c r="B1663" s="2"/>
      <c r="C1663" s="2"/>
      <c r="D1663" s="2"/>
      <c r="E1663" s="5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4"/>
      <c r="B1664" s="2"/>
      <c r="C1664" s="2"/>
      <c r="D1664" s="2"/>
      <c r="E1664" s="5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4"/>
      <c r="B1665" s="2"/>
      <c r="C1665" s="2"/>
      <c r="D1665" s="2"/>
      <c r="E1665" s="5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4"/>
      <c r="B1666" s="2"/>
      <c r="C1666" s="2"/>
      <c r="D1666" s="2"/>
      <c r="E1666" s="5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4"/>
      <c r="B1667" s="2"/>
      <c r="C1667" s="2"/>
      <c r="D1667" s="2"/>
      <c r="E1667" s="5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4"/>
      <c r="B1668" s="2"/>
      <c r="C1668" s="2"/>
      <c r="D1668" s="2"/>
      <c r="E1668" s="5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4"/>
      <c r="B1669" s="2"/>
      <c r="C1669" s="2"/>
      <c r="D1669" s="2"/>
      <c r="E1669" s="5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4"/>
      <c r="B1670" s="2"/>
      <c r="C1670" s="2"/>
      <c r="D1670" s="2"/>
      <c r="E1670" s="5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4"/>
      <c r="B1671" s="2"/>
      <c r="C1671" s="2"/>
      <c r="D1671" s="2"/>
      <c r="E1671" s="5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4"/>
      <c r="B1672" s="2"/>
      <c r="C1672" s="2"/>
      <c r="D1672" s="2"/>
      <c r="E1672" s="5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4"/>
      <c r="B1673" s="2"/>
      <c r="C1673" s="2"/>
      <c r="D1673" s="2"/>
      <c r="E1673" s="5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4"/>
      <c r="B1674" s="2"/>
      <c r="C1674" s="2"/>
      <c r="D1674" s="2"/>
      <c r="E1674" s="5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4"/>
      <c r="B1675" s="2"/>
      <c r="C1675" s="2"/>
      <c r="D1675" s="2"/>
      <c r="E1675" s="5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4"/>
      <c r="B1676" s="2"/>
      <c r="C1676" s="2"/>
      <c r="D1676" s="2"/>
      <c r="E1676" s="5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4"/>
      <c r="B1677" s="2"/>
      <c r="C1677" s="2"/>
      <c r="D1677" s="2"/>
      <c r="E1677" s="5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4"/>
      <c r="B1678" s="2"/>
      <c r="C1678" s="2"/>
      <c r="D1678" s="2"/>
      <c r="E1678" s="5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4"/>
      <c r="B1679" s="2"/>
      <c r="C1679" s="2"/>
      <c r="D1679" s="2"/>
      <c r="E1679" s="5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4"/>
      <c r="B1680" s="2"/>
      <c r="C1680" s="2"/>
      <c r="D1680" s="2"/>
      <c r="E1680" s="5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4"/>
      <c r="B1681" s="2"/>
      <c r="C1681" s="2"/>
      <c r="D1681" s="2"/>
      <c r="E1681" s="5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4"/>
      <c r="B1682" s="2"/>
      <c r="C1682" s="2"/>
      <c r="D1682" s="2"/>
      <c r="E1682" s="5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4"/>
      <c r="B1683" s="2"/>
      <c r="C1683" s="2"/>
      <c r="D1683" s="2"/>
      <c r="E1683" s="5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4"/>
      <c r="B1684" s="2"/>
      <c r="C1684" s="2"/>
      <c r="D1684" s="2"/>
      <c r="E1684" s="5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4"/>
      <c r="B1685" s="2"/>
      <c r="C1685" s="2"/>
      <c r="D1685" s="2"/>
      <c r="E1685" s="5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4"/>
      <c r="B1686" s="2"/>
      <c r="C1686" s="2"/>
      <c r="D1686" s="2"/>
      <c r="E1686" s="5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4"/>
      <c r="B1687" s="2"/>
      <c r="C1687" s="2"/>
      <c r="D1687" s="2"/>
      <c r="E1687" s="5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4"/>
      <c r="B1688" s="2"/>
      <c r="C1688" s="2"/>
      <c r="D1688" s="2"/>
      <c r="E1688" s="5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4"/>
      <c r="B1689" s="2"/>
      <c r="C1689" s="2"/>
      <c r="D1689" s="2"/>
      <c r="E1689" s="5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4"/>
      <c r="B1690" s="2"/>
      <c r="C1690" s="2"/>
      <c r="D1690" s="2"/>
      <c r="E1690" s="5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4"/>
      <c r="B1691" s="2"/>
      <c r="C1691" s="2"/>
      <c r="D1691" s="2"/>
      <c r="E1691" s="5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4"/>
      <c r="B1692" s="2"/>
      <c r="C1692" s="2"/>
      <c r="D1692" s="2"/>
      <c r="E1692" s="5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4"/>
      <c r="B1693" s="2"/>
      <c r="C1693" s="2"/>
      <c r="D1693" s="2"/>
      <c r="E1693" s="5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4"/>
      <c r="B1694" s="2"/>
      <c r="C1694" s="2"/>
      <c r="D1694" s="2"/>
      <c r="E1694" s="5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4"/>
      <c r="B1695" s="2"/>
      <c r="C1695" s="2"/>
      <c r="D1695" s="2"/>
      <c r="E1695" s="5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4"/>
      <c r="B1696" s="2"/>
      <c r="C1696" s="2"/>
      <c r="D1696" s="2"/>
      <c r="E1696" s="5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4"/>
      <c r="B1697" s="2"/>
      <c r="C1697" s="2"/>
      <c r="D1697" s="2"/>
      <c r="E1697" s="5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4"/>
      <c r="B1698" s="2"/>
      <c r="C1698" s="2"/>
      <c r="D1698" s="2"/>
      <c r="E1698" s="5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4"/>
      <c r="B1699" s="2"/>
      <c r="C1699" s="2"/>
      <c r="D1699" s="2"/>
      <c r="E1699" s="5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4"/>
      <c r="B1700" s="2"/>
      <c r="C1700" s="2"/>
      <c r="D1700" s="2"/>
      <c r="E1700" s="5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4"/>
      <c r="B1701" s="2"/>
      <c r="C1701" s="2"/>
      <c r="D1701" s="2"/>
      <c r="E1701" s="5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4"/>
      <c r="B1702" s="2"/>
      <c r="C1702" s="2"/>
      <c r="D1702" s="2"/>
      <c r="E1702" s="5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4"/>
      <c r="B1703" s="2"/>
      <c r="C1703" s="2"/>
      <c r="D1703" s="2"/>
      <c r="E1703" s="5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4"/>
      <c r="B1704" s="2"/>
      <c r="C1704" s="2"/>
      <c r="D1704" s="2"/>
      <c r="E1704" s="5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4"/>
      <c r="B1705" s="2"/>
      <c r="C1705" s="2"/>
      <c r="D1705" s="2"/>
      <c r="E1705" s="5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4"/>
      <c r="B1706" s="2"/>
      <c r="C1706" s="2"/>
      <c r="D1706" s="2"/>
      <c r="E1706" s="5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4"/>
      <c r="B1707" s="2"/>
      <c r="C1707" s="2"/>
      <c r="D1707" s="2"/>
      <c r="E1707" s="5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4"/>
      <c r="B1708" s="2"/>
      <c r="C1708" s="2"/>
      <c r="D1708" s="2"/>
      <c r="E1708" s="5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4"/>
      <c r="B1709" s="2"/>
      <c r="C1709" s="2"/>
      <c r="D1709" s="2"/>
      <c r="E1709" s="5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4"/>
      <c r="B1710" s="2"/>
      <c r="C1710" s="2"/>
      <c r="D1710" s="2"/>
      <c r="E1710" s="5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4"/>
      <c r="B1711" s="2"/>
      <c r="C1711" s="2"/>
      <c r="D1711" s="2"/>
      <c r="E1711" s="5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4"/>
      <c r="B1712" s="2"/>
      <c r="C1712" s="2"/>
      <c r="D1712" s="2"/>
      <c r="E1712" s="5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4"/>
      <c r="B1713" s="2"/>
      <c r="C1713" s="2"/>
      <c r="D1713" s="2"/>
      <c r="E1713" s="5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4"/>
      <c r="B1714" s="2"/>
      <c r="C1714" s="2"/>
      <c r="D1714" s="2"/>
      <c r="E1714" s="5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4"/>
      <c r="B1715" s="2"/>
      <c r="C1715" s="2"/>
      <c r="D1715" s="2"/>
      <c r="E1715" s="5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4"/>
      <c r="B1716" s="2"/>
      <c r="C1716" s="2"/>
      <c r="D1716" s="2"/>
      <c r="E1716" s="5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4"/>
      <c r="B1717" s="2"/>
      <c r="C1717" s="2"/>
      <c r="D1717" s="2"/>
      <c r="E1717" s="5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4"/>
      <c r="B1718" s="2"/>
      <c r="C1718" s="2"/>
      <c r="D1718" s="2"/>
      <c r="E1718" s="5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4"/>
      <c r="B1719" s="2"/>
      <c r="C1719" s="2"/>
      <c r="D1719" s="2"/>
      <c r="E1719" s="5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4"/>
      <c r="B1720" s="2"/>
      <c r="C1720" s="2"/>
      <c r="D1720" s="2"/>
      <c r="E1720" s="5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4"/>
      <c r="B1721" s="2"/>
      <c r="C1721" s="2"/>
      <c r="D1721" s="2"/>
      <c r="E1721" s="5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4"/>
      <c r="B1722" s="2"/>
      <c r="C1722" s="2"/>
      <c r="D1722" s="2"/>
      <c r="E1722" s="5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4"/>
      <c r="B1723" s="2"/>
      <c r="C1723" s="2"/>
      <c r="D1723" s="2"/>
      <c r="E1723" s="5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4"/>
      <c r="B1724" s="2"/>
      <c r="C1724" s="2"/>
      <c r="D1724" s="2"/>
      <c r="E1724" s="5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4"/>
      <c r="B1725" s="2"/>
      <c r="C1725" s="2"/>
      <c r="D1725" s="2"/>
      <c r="E1725" s="5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4"/>
      <c r="B1726" s="2"/>
      <c r="C1726" s="2"/>
      <c r="D1726" s="2"/>
      <c r="E1726" s="5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4"/>
      <c r="B1727" s="2"/>
      <c r="C1727" s="2"/>
      <c r="D1727" s="2"/>
      <c r="E1727" s="5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4"/>
      <c r="B1728" s="2"/>
      <c r="C1728" s="2"/>
      <c r="D1728" s="2"/>
      <c r="E1728" s="5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4"/>
      <c r="B1729" s="2"/>
      <c r="C1729" s="2"/>
      <c r="D1729" s="2"/>
      <c r="E1729" s="5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4"/>
      <c r="B1730" s="2"/>
      <c r="C1730" s="2"/>
      <c r="D1730" s="2"/>
      <c r="E1730" s="5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4"/>
      <c r="B1731" s="2"/>
      <c r="C1731" s="2"/>
      <c r="D1731" s="2"/>
      <c r="E1731" s="5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4"/>
      <c r="B1732" s="2"/>
      <c r="C1732" s="2"/>
      <c r="D1732" s="2"/>
      <c r="E1732" s="5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4"/>
      <c r="B1733" s="2"/>
      <c r="C1733" s="2"/>
      <c r="D1733" s="2"/>
      <c r="E1733" s="5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4"/>
      <c r="B1734" s="2"/>
      <c r="C1734" s="2"/>
      <c r="D1734" s="2"/>
      <c r="E1734" s="5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4"/>
      <c r="B1735" s="2"/>
      <c r="C1735" s="2"/>
      <c r="D1735" s="2"/>
      <c r="E1735" s="5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4"/>
      <c r="B1736" s="2"/>
      <c r="C1736" s="2"/>
      <c r="D1736" s="2"/>
      <c r="E1736" s="5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4"/>
      <c r="B1737" s="2"/>
      <c r="C1737" s="2"/>
      <c r="D1737" s="2"/>
      <c r="E1737" s="5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4"/>
      <c r="B1738" s="2"/>
      <c r="C1738" s="2"/>
      <c r="D1738" s="2"/>
      <c r="E1738" s="5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4"/>
      <c r="B1739" s="2"/>
      <c r="C1739" s="2"/>
      <c r="D1739" s="2"/>
      <c r="E1739" s="5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4"/>
      <c r="B1740" s="2"/>
      <c r="C1740" s="2"/>
      <c r="D1740" s="2"/>
      <c r="E1740" s="5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4"/>
      <c r="B1741" s="2"/>
      <c r="C1741" s="2"/>
      <c r="D1741" s="2"/>
      <c r="E1741" s="5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4"/>
      <c r="B1742" s="2"/>
      <c r="C1742" s="2"/>
      <c r="D1742" s="2"/>
      <c r="E1742" s="5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4"/>
      <c r="B1743" s="2"/>
      <c r="C1743" s="2"/>
      <c r="D1743" s="2"/>
      <c r="E1743" s="5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4"/>
      <c r="B1744" s="2"/>
      <c r="C1744" s="2"/>
      <c r="D1744" s="2"/>
      <c r="E1744" s="5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4"/>
      <c r="B1745" s="2"/>
      <c r="C1745" s="2"/>
      <c r="D1745" s="2"/>
      <c r="E1745" s="5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4"/>
      <c r="B1746" s="2"/>
      <c r="C1746" s="2"/>
      <c r="D1746" s="2"/>
      <c r="E1746" s="5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4"/>
      <c r="B1747" s="2"/>
      <c r="C1747" s="2"/>
      <c r="D1747" s="2"/>
      <c r="E1747" s="5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4"/>
      <c r="B1748" s="2"/>
      <c r="C1748" s="2"/>
      <c r="D1748" s="2"/>
      <c r="E1748" s="5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4"/>
      <c r="B1749" s="2"/>
      <c r="C1749" s="2"/>
      <c r="D1749" s="2"/>
      <c r="E1749" s="5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4"/>
      <c r="B1750" s="2"/>
      <c r="C1750" s="2"/>
      <c r="D1750" s="2"/>
      <c r="E1750" s="5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4"/>
      <c r="B1751" s="2"/>
      <c r="C1751" s="2"/>
      <c r="D1751" s="2"/>
      <c r="E1751" s="5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4"/>
      <c r="B1752" s="2"/>
      <c r="C1752" s="2"/>
      <c r="D1752" s="2"/>
      <c r="E1752" s="5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4"/>
      <c r="B1753" s="2"/>
      <c r="C1753" s="2"/>
      <c r="D1753" s="2"/>
      <c r="E1753" s="5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4"/>
      <c r="B1754" s="2"/>
      <c r="C1754" s="2"/>
      <c r="D1754" s="2"/>
      <c r="E1754" s="5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4"/>
      <c r="B1755" s="2"/>
      <c r="C1755" s="2"/>
      <c r="D1755" s="2"/>
      <c r="E1755" s="5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4"/>
      <c r="B1756" s="2"/>
      <c r="C1756" s="2"/>
      <c r="D1756" s="2"/>
      <c r="E1756" s="5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4"/>
      <c r="B1757" s="2"/>
      <c r="C1757" s="2"/>
      <c r="D1757" s="2"/>
      <c r="E1757" s="5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4"/>
      <c r="B1758" s="2"/>
      <c r="C1758" s="2"/>
      <c r="D1758" s="2"/>
      <c r="E1758" s="5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4"/>
      <c r="B1759" s="2"/>
      <c r="C1759" s="2"/>
      <c r="D1759" s="2"/>
      <c r="E1759" s="5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4"/>
      <c r="B1760" s="2"/>
      <c r="C1760" s="2"/>
      <c r="D1760" s="2"/>
      <c r="E1760" s="5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4"/>
      <c r="B1761" s="2"/>
      <c r="C1761" s="2"/>
      <c r="D1761" s="2"/>
      <c r="E1761" s="5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4"/>
      <c r="B1762" s="2"/>
      <c r="C1762" s="2"/>
      <c r="D1762" s="2"/>
      <c r="E1762" s="5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4"/>
      <c r="B1763" s="2"/>
      <c r="C1763" s="2"/>
      <c r="D1763" s="2"/>
      <c r="E1763" s="5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4"/>
      <c r="B1764" s="2"/>
      <c r="C1764" s="2"/>
      <c r="D1764" s="2"/>
      <c r="E1764" s="5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4"/>
      <c r="B1765" s="2"/>
      <c r="C1765" s="2"/>
      <c r="D1765" s="2"/>
      <c r="E1765" s="5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4"/>
      <c r="B1766" s="2"/>
      <c r="C1766" s="2"/>
      <c r="D1766" s="2"/>
      <c r="E1766" s="5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4"/>
      <c r="B1767" s="2"/>
      <c r="C1767" s="2"/>
      <c r="D1767" s="2"/>
      <c r="E1767" s="5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4"/>
      <c r="B1768" s="2"/>
      <c r="C1768" s="2"/>
      <c r="D1768" s="2"/>
      <c r="E1768" s="5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4"/>
      <c r="B1769" s="2"/>
      <c r="C1769" s="2"/>
      <c r="D1769" s="2"/>
      <c r="E1769" s="5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4"/>
      <c r="B1770" s="2"/>
      <c r="C1770" s="2"/>
      <c r="D1770" s="2"/>
      <c r="E1770" s="5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4"/>
      <c r="B1771" s="2"/>
      <c r="C1771" s="2"/>
      <c r="D1771" s="2"/>
      <c r="E1771" s="5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4"/>
      <c r="B1772" s="2"/>
      <c r="C1772" s="2"/>
      <c r="D1772" s="2"/>
      <c r="E1772" s="5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4"/>
      <c r="B1773" s="2"/>
      <c r="C1773" s="2"/>
      <c r="D1773" s="2"/>
      <c r="E1773" s="5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4"/>
      <c r="B1774" s="2"/>
      <c r="C1774" s="2"/>
      <c r="D1774" s="2"/>
      <c r="E1774" s="5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4"/>
      <c r="B1775" s="2"/>
      <c r="C1775" s="2"/>
      <c r="D1775" s="2"/>
      <c r="E1775" s="5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4"/>
      <c r="B1776" s="2"/>
      <c r="C1776" s="2"/>
      <c r="D1776" s="2"/>
      <c r="E1776" s="5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4"/>
      <c r="B1777" s="2"/>
      <c r="C1777" s="2"/>
      <c r="D1777" s="2"/>
      <c r="E1777" s="5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4"/>
      <c r="B1778" s="2"/>
      <c r="C1778" s="2"/>
      <c r="D1778" s="2"/>
      <c r="E1778" s="5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4"/>
      <c r="B1779" s="2"/>
      <c r="C1779" s="2"/>
      <c r="D1779" s="2"/>
      <c r="E1779" s="5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4"/>
      <c r="B1780" s="2"/>
      <c r="C1780" s="2"/>
      <c r="D1780" s="2"/>
      <c r="E1780" s="5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4"/>
      <c r="B1781" s="2"/>
      <c r="C1781" s="2"/>
      <c r="D1781" s="2"/>
      <c r="E1781" s="5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4"/>
      <c r="B1782" s="2"/>
      <c r="C1782" s="2"/>
      <c r="D1782" s="2"/>
      <c r="E1782" s="5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4"/>
      <c r="B1783" s="2"/>
      <c r="C1783" s="2"/>
      <c r="D1783" s="2"/>
      <c r="E1783" s="5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4"/>
      <c r="B1784" s="2"/>
      <c r="C1784" s="2"/>
      <c r="D1784" s="2"/>
      <c r="E1784" s="5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4"/>
      <c r="B1785" s="2"/>
      <c r="C1785" s="2"/>
      <c r="D1785" s="2"/>
      <c r="E1785" s="5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4"/>
      <c r="B1786" s="2"/>
      <c r="C1786" s="2"/>
      <c r="D1786" s="2"/>
      <c r="E1786" s="5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4"/>
      <c r="B1787" s="2"/>
      <c r="C1787" s="2"/>
      <c r="D1787" s="2"/>
      <c r="E1787" s="5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4"/>
      <c r="B1788" s="2"/>
      <c r="C1788" s="2"/>
      <c r="D1788" s="2"/>
      <c r="E1788" s="5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4"/>
      <c r="B1789" s="2"/>
      <c r="C1789" s="2"/>
      <c r="D1789" s="2"/>
      <c r="E1789" s="5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4"/>
      <c r="B1790" s="2"/>
      <c r="C1790" s="2"/>
      <c r="D1790" s="2"/>
      <c r="E1790" s="5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4"/>
      <c r="B1791" s="2"/>
      <c r="C1791" s="2"/>
      <c r="D1791" s="2"/>
      <c r="E1791" s="5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4"/>
      <c r="B1792" s="2"/>
      <c r="C1792" s="2"/>
      <c r="D1792" s="2"/>
      <c r="E1792" s="5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4"/>
      <c r="B1793" s="2"/>
      <c r="C1793" s="2"/>
      <c r="D1793" s="2"/>
      <c r="E1793" s="5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4"/>
      <c r="B1794" s="2"/>
      <c r="C1794" s="2"/>
      <c r="D1794" s="2"/>
      <c r="E1794" s="5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4"/>
      <c r="B1795" s="2"/>
      <c r="C1795" s="2"/>
      <c r="D1795" s="2"/>
      <c r="E1795" s="5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4"/>
      <c r="B1796" s="2"/>
      <c r="C1796" s="2"/>
      <c r="D1796" s="2"/>
      <c r="E1796" s="5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4"/>
      <c r="B1797" s="2"/>
      <c r="C1797" s="2"/>
      <c r="D1797" s="2"/>
      <c r="E1797" s="5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4"/>
      <c r="B1798" s="2"/>
      <c r="C1798" s="2"/>
      <c r="D1798" s="2"/>
      <c r="E1798" s="5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4"/>
      <c r="B1799" s="2"/>
      <c r="C1799" s="2"/>
      <c r="D1799" s="2"/>
      <c r="E1799" s="5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4"/>
      <c r="B1800" s="2"/>
      <c r="C1800" s="2"/>
      <c r="D1800" s="2"/>
      <c r="E1800" s="5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4"/>
      <c r="B1801" s="2"/>
      <c r="C1801" s="2"/>
      <c r="D1801" s="2"/>
      <c r="E1801" s="5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4"/>
      <c r="B1802" s="2"/>
      <c r="C1802" s="2"/>
      <c r="D1802" s="2"/>
      <c r="E1802" s="5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4"/>
      <c r="B1803" s="2"/>
      <c r="C1803" s="2"/>
      <c r="D1803" s="2"/>
      <c r="E1803" s="5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4"/>
      <c r="B1804" s="2"/>
      <c r="C1804" s="2"/>
      <c r="D1804" s="2"/>
      <c r="E1804" s="5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4"/>
      <c r="B1805" s="2"/>
      <c r="C1805" s="2"/>
      <c r="D1805" s="2"/>
      <c r="E1805" s="5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4"/>
      <c r="B1806" s="2"/>
      <c r="C1806" s="2"/>
      <c r="D1806" s="2"/>
      <c r="E1806" s="5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4"/>
      <c r="B1807" s="2"/>
      <c r="C1807" s="2"/>
      <c r="D1807" s="2"/>
      <c r="E1807" s="5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4"/>
      <c r="B1808" s="2"/>
      <c r="C1808" s="2"/>
      <c r="D1808" s="2"/>
      <c r="E1808" s="5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4"/>
      <c r="B1809" s="2"/>
      <c r="C1809" s="2"/>
      <c r="D1809" s="2"/>
      <c r="E1809" s="5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4"/>
      <c r="B1810" s="2"/>
      <c r="C1810" s="2"/>
      <c r="D1810" s="2"/>
      <c r="E1810" s="5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4"/>
      <c r="B1811" s="2"/>
      <c r="C1811" s="2"/>
      <c r="D1811" s="2"/>
      <c r="E1811" s="5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4"/>
      <c r="B1812" s="2"/>
      <c r="C1812" s="2"/>
      <c r="D1812" s="2"/>
      <c r="E1812" s="5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4"/>
      <c r="B1813" s="2"/>
      <c r="C1813" s="2"/>
      <c r="D1813" s="2"/>
      <c r="E1813" s="5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4"/>
      <c r="B1814" s="2"/>
      <c r="C1814" s="2"/>
      <c r="D1814" s="2"/>
      <c r="E1814" s="5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4"/>
      <c r="B1815" s="2"/>
      <c r="C1815" s="2"/>
      <c r="D1815" s="2"/>
      <c r="E1815" s="5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4"/>
      <c r="B1816" s="2"/>
      <c r="C1816" s="2"/>
      <c r="D1816" s="2"/>
      <c r="E1816" s="5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4"/>
      <c r="B1817" s="2"/>
      <c r="C1817" s="2"/>
      <c r="D1817" s="2"/>
      <c r="E1817" s="5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4"/>
      <c r="B1818" s="2"/>
      <c r="C1818" s="2"/>
      <c r="D1818" s="2"/>
      <c r="E1818" s="5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4"/>
      <c r="B1819" s="2"/>
      <c r="C1819" s="2"/>
      <c r="D1819" s="2"/>
      <c r="E1819" s="5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4"/>
      <c r="B1820" s="2"/>
      <c r="C1820" s="2"/>
      <c r="D1820" s="2"/>
      <c r="E1820" s="5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4"/>
      <c r="B1821" s="2"/>
      <c r="C1821" s="2"/>
      <c r="D1821" s="2"/>
      <c r="E1821" s="5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4"/>
      <c r="B1822" s="2"/>
      <c r="C1822" s="2"/>
      <c r="D1822" s="2"/>
      <c r="E1822" s="5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4"/>
      <c r="B1823" s="2"/>
      <c r="C1823" s="2"/>
      <c r="D1823" s="2"/>
      <c r="E1823" s="5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4"/>
      <c r="B1824" s="2"/>
      <c r="C1824" s="2"/>
      <c r="D1824" s="2"/>
      <c r="E1824" s="5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4"/>
      <c r="B1825" s="2"/>
      <c r="C1825" s="2"/>
      <c r="D1825" s="2"/>
      <c r="E1825" s="5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4"/>
      <c r="B1826" s="2"/>
      <c r="C1826" s="2"/>
      <c r="D1826" s="2"/>
      <c r="E1826" s="5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4"/>
      <c r="B1827" s="2"/>
      <c r="C1827" s="2"/>
      <c r="D1827" s="2"/>
      <c r="E1827" s="5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4"/>
      <c r="B1828" s="2"/>
      <c r="C1828" s="2"/>
      <c r="D1828" s="2"/>
      <c r="E1828" s="5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4"/>
      <c r="B1829" s="2"/>
      <c r="C1829" s="2"/>
      <c r="D1829" s="2"/>
      <c r="E1829" s="5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4"/>
      <c r="B1830" s="2"/>
      <c r="C1830" s="2"/>
      <c r="D1830" s="2"/>
      <c r="E1830" s="5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4"/>
      <c r="B1831" s="2"/>
      <c r="C1831" s="2"/>
      <c r="D1831" s="2"/>
      <c r="E1831" s="5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4"/>
      <c r="B1832" s="2"/>
      <c r="C1832" s="2"/>
      <c r="D1832" s="2"/>
      <c r="E1832" s="5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4"/>
      <c r="B1833" s="2"/>
      <c r="C1833" s="2"/>
      <c r="D1833" s="2"/>
      <c r="E1833" s="5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4"/>
      <c r="B1834" s="2"/>
      <c r="C1834" s="2"/>
      <c r="D1834" s="2"/>
      <c r="E1834" s="5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4"/>
      <c r="B1835" s="2"/>
      <c r="C1835" s="2"/>
      <c r="D1835" s="2"/>
      <c r="E1835" s="5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4"/>
      <c r="B1836" s="2"/>
      <c r="C1836" s="2"/>
      <c r="D1836" s="2"/>
      <c r="E1836" s="5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4"/>
      <c r="B1837" s="2"/>
      <c r="C1837" s="2"/>
      <c r="D1837" s="2"/>
      <c r="E1837" s="5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4"/>
      <c r="B1838" s="2"/>
      <c r="C1838" s="2"/>
      <c r="D1838" s="2"/>
      <c r="E1838" s="5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4"/>
      <c r="B1839" s="2"/>
      <c r="C1839" s="2"/>
      <c r="D1839" s="2"/>
      <c r="E1839" s="5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4"/>
      <c r="B1840" s="2"/>
      <c r="C1840" s="2"/>
      <c r="D1840" s="2"/>
      <c r="E1840" s="5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4"/>
      <c r="B1841" s="2"/>
      <c r="C1841" s="2"/>
      <c r="D1841" s="2"/>
      <c r="E1841" s="5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4"/>
      <c r="B1842" s="2"/>
      <c r="C1842" s="2"/>
      <c r="D1842" s="2"/>
      <c r="E1842" s="5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4"/>
      <c r="B1843" s="2"/>
      <c r="C1843" s="2"/>
      <c r="D1843" s="2"/>
      <c r="E1843" s="5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4"/>
      <c r="B1844" s="2"/>
      <c r="C1844" s="2"/>
      <c r="D1844" s="2"/>
      <c r="E1844" s="5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4"/>
      <c r="B1845" s="2"/>
      <c r="C1845" s="2"/>
      <c r="D1845" s="2"/>
      <c r="E1845" s="5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4"/>
      <c r="B1846" s="2"/>
      <c r="C1846" s="2"/>
      <c r="D1846" s="2"/>
      <c r="E1846" s="5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4"/>
      <c r="B1847" s="2"/>
      <c r="C1847" s="2"/>
      <c r="D1847" s="2"/>
      <c r="E1847" s="5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4"/>
      <c r="B1848" s="2"/>
      <c r="C1848" s="2"/>
      <c r="D1848" s="2"/>
      <c r="E1848" s="5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4"/>
      <c r="B1849" s="2"/>
      <c r="C1849" s="2"/>
      <c r="D1849" s="2"/>
      <c r="E1849" s="5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4"/>
      <c r="B1850" s="2"/>
      <c r="C1850" s="2"/>
      <c r="D1850" s="2"/>
      <c r="E1850" s="5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4"/>
      <c r="B1851" s="2"/>
      <c r="C1851" s="2"/>
      <c r="D1851" s="2"/>
      <c r="E1851" s="5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4"/>
      <c r="B1852" s="2"/>
      <c r="C1852" s="2"/>
      <c r="D1852" s="2"/>
      <c r="E1852" s="5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4"/>
      <c r="B1853" s="2"/>
      <c r="C1853" s="2"/>
      <c r="D1853" s="2"/>
      <c r="E1853" s="5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4"/>
      <c r="B1854" s="2"/>
      <c r="C1854" s="2"/>
      <c r="D1854" s="2"/>
      <c r="E1854" s="5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4"/>
      <c r="B1855" s="2"/>
      <c r="C1855" s="2"/>
      <c r="D1855" s="2"/>
      <c r="E1855" s="5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4"/>
      <c r="B1856" s="2"/>
      <c r="C1856" s="2"/>
      <c r="D1856" s="2"/>
      <c r="E1856" s="5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4"/>
      <c r="B1857" s="2"/>
      <c r="C1857" s="2"/>
      <c r="D1857" s="2"/>
      <c r="E1857" s="5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4"/>
      <c r="B1858" s="2"/>
      <c r="C1858" s="2"/>
      <c r="D1858" s="2"/>
      <c r="E1858" s="5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4"/>
      <c r="B1859" s="2"/>
      <c r="C1859" s="2"/>
      <c r="D1859" s="2"/>
      <c r="E1859" s="5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4"/>
      <c r="B1860" s="2"/>
      <c r="C1860" s="2"/>
      <c r="D1860" s="2"/>
      <c r="E1860" s="5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4"/>
      <c r="B1861" s="2"/>
      <c r="C1861" s="2"/>
      <c r="D1861" s="2"/>
      <c r="E1861" s="5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4"/>
      <c r="B1862" s="2"/>
      <c r="C1862" s="2"/>
      <c r="D1862" s="2"/>
      <c r="E1862" s="5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4"/>
      <c r="B1863" s="2"/>
      <c r="C1863" s="2"/>
      <c r="D1863" s="2"/>
      <c r="E1863" s="5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4"/>
      <c r="B1864" s="2"/>
      <c r="C1864" s="2"/>
      <c r="D1864" s="2"/>
      <c r="E1864" s="5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4"/>
      <c r="B1865" s="2"/>
      <c r="C1865" s="2"/>
      <c r="D1865" s="2"/>
      <c r="E1865" s="5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4"/>
      <c r="B1866" s="2"/>
      <c r="C1866" s="2"/>
      <c r="D1866" s="2"/>
      <c r="E1866" s="5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4"/>
      <c r="B1867" s="2"/>
      <c r="C1867" s="2"/>
      <c r="D1867" s="2"/>
      <c r="E1867" s="5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4"/>
      <c r="B1868" s="2"/>
      <c r="C1868" s="2"/>
      <c r="D1868" s="2"/>
      <c r="E1868" s="5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4"/>
      <c r="B1869" s="2"/>
      <c r="C1869" s="2"/>
      <c r="D1869" s="2"/>
      <c r="E1869" s="5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4"/>
      <c r="B1870" s="2"/>
      <c r="C1870" s="2"/>
      <c r="D1870" s="2"/>
      <c r="E1870" s="5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4"/>
      <c r="B1871" s="2"/>
      <c r="C1871" s="2"/>
      <c r="D1871" s="2"/>
      <c r="E1871" s="5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4"/>
      <c r="B1872" s="2"/>
      <c r="C1872" s="2"/>
      <c r="D1872" s="2"/>
      <c r="E1872" s="5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4"/>
      <c r="B1873" s="2"/>
      <c r="C1873" s="2"/>
      <c r="D1873" s="2"/>
      <c r="E1873" s="5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4"/>
      <c r="B1874" s="2"/>
      <c r="C1874" s="2"/>
      <c r="D1874" s="2"/>
      <c r="E1874" s="5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4"/>
      <c r="B1875" s="2"/>
      <c r="C1875" s="2"/>
      <c r="D1875" s="2"/>
      <c r="E1875" s="5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4"/>
      <c r="B1876" s="2"/>
      <c r="C1876" s="2"/>
      <c r="D1876" s="2"/>
      <c r="E1876" s="5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4"/>
      <c r="B1877" s="2"/>
      <c r="C1877" s="2"/>
      <c r="D1877" s="2"/>
      <c r="E1877" s="5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4"/>
      <c r="B1878" s="2"/>
      <c r="C1878" s="2"/>
      <c r="D1878" s="2"/>
      <c r="E1878" s="5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4"/>
      <c r="B1879" s="2"/>
      <c r="C1879" s="2"/>
      <c r="D1879" s="2"/>
      <c r="E1879" s="5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4"/>
      <c r="B1880" s="2"/>
      <c r="C1880" s="2"/>
      <c r="D1880" s="2"/>
      <c r="E1880" s="5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4"/>
      <c r="B1881" s="2"/>
      <c r="C1881" s="2"/>
      <c r="D1881" s="2"/>
      <c r="E1881" s="5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4"/>
      <c r="B1882" s="2"/>
      <c r="C1882" s="2"/>
      <c r="D1882" s="2"/>
      <c r="E1882" s="5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4"/>
      <c r="B1883" s="2"/>
      <c r="C1883" s="2"/>
      <c r="D1883" s="2"/>
      <c r="E1883" s="5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4"/>
      <c r="B1884" s="2"/>
      <c r="C1884" s="2"/>
      <c r="D1884" s="2"/>
      <c r="E1884" s="5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4"/>
      <c r="B1885" s="2"/>
      <c r="C1885" s="2"/>
      <c r="D1885" s="2"/>
      <c r="E1885" s="5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4"/>
      <c r="B1886" s="2"/>
      <c r="C1886" s="2"/>
      <c r="D1886" s="2"/>
      <c r="E1886" s="5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4"/>
      <c r="B1887" s="2"/>
      <c r="C1887" s="2"/>
      <c r="D1887" s="2"/>
      <c r="E1887" s="5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4"/>
      <c r="B1888" s="2"/>
      <c r="C1888" s="2"/>
      <c r="D1888" s="2"/>
      <c r="E1888" s="5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4"/>
      <c r="B1889" s="2"/>
      <c r="C1889" s="2"/>
      <c r="D1889" s="2"/>
      <c r="E1889" s="5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4"/>
      <c r="B1890" s="2"/>
      <c r="C1890" s="2"/>
      <c r="D1890" s="2"/>
      <c r="E1890" s="5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4"/>
      <c r="B1891" s="2"/>
      <c r="C1891" s="2"/>
      <c r="D1891" s="2"/>
      <c r="E1891" s="5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4"/>
      <c r="B1892" s="2"/>
      <c r="C1892" s="2"/>
      <c r="D1892" s="2"/>
      <c r="E1892" s="5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4"/>
      <c r="B1893" s="2"/>
      <c r="C1893" s="2"/>
      <c r="D1893" s="2"/>
      <c r="E1893" s="5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4"/>
      <c r="B1894" s="2"/>
      <c r="C1894" s="2"/>
      <c r="D1894" s="2"/>
      <c r="E1894" s="5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4"/>
      <c r="B1895" s="2"/>
      <c r="C1895" s="2"/>
      <c r="D1895" s="2"/>
      <c r="E1895" s="5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4"/>
      <c r="B1896" s="2"/>
      <c r="C1896" s="2"/>
      <c r="D1896" s="2"/>
      <c r="E1896" s="5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4"/>
      <c r="B1897" s="2"/>
      <c r="C1897" s="2"/>
      <c r="D1897" s="2"/>
      <c r="E1897" s="5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4"/>
      <c r="B1898" s="2"/>
      <c r="C1898" s="2"/>
      <c r="D1898" s="2"/>
      <c r="E1898" s="5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4"/>
      <c r="B1899" s="2"/>
      <c r="C1899" s="2"/>
      <c r="D1899" s="2"/>
      <c r="E1899" s="5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4"/>
      <c r="B1900" s="2"/>
      <c r="C1900" s="2"/>
      <c r="D1900" s="2"/>
      <c r="E1900" s="5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4"/>
      <c r="B1901" s="2"/>
      <c r="C1901" s="2"/>
      <c r="D1901" s="2"/>
      <c r="E1901" s="5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4"/>
      <c r="B1902" s="2"/>
      <c r="C1902" s="2"/>
      <c r="D1902" s="2"/>
      <c r="E1902" s="5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4"/>
      <c r="B1903" s="2"/>
      <c r="C1903" s="2"/>
      <c r="D1903" s="2"/>
      <c r="E1903" s="5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4"/>
      <c r="B1904" s="2"/>
      <c r="C1904" s="2"/>
      <c r="D1904" s="2"/>
      <c r="E1904" s="5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4"/>
      <c r="B1905" s="2"/>
      <c r="C1905" s="2"/>
      <c r="D1905" s="2"/>
      <c r="E1905" s="5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4"/>
      <c r="B1906" s="2"/>
      <c r="C1906" s="2"/>
      <c r="D1906" s="2"/>
      <c r="E1906" s="5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4"/>
      <c r="B1907" s="2"/>
      <c r="C1907" s="2"/>
      <c r="D1907" s="2"/>
      <c r="E1907" s="5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4"/>
      <c r="B1908" s="2"/>
      <c r="C1908" s="2"/>
      <c r="D1908" s="2"/>
      <c r="E1908" s="5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4"/>
      <c r="B1909" s="2"/>
      <c r="C1909" s="2"/>
      <c r="D1909" s="2"/>
      <c r="E1909" s="5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4"/>
      <c r="B1910" s="2"/>
      <c r="C1910" s="2"/>
      <c r="D1910" s="2"/>
      <c r="E1910" s="5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4"/>
      <c r="B1911" s="2"/>
      <c r="C1911" s="2"/>
      <c r="D1911" s="2"/>
      <c r="E1911" s="5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4"/>
      <c r="B1912" s="2"/>
      <c r="C1912" s="2"/>
      <c r="D1912" s="2"/>
      <c r="E1912" s="5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4"/>
      <c r="B1913" s="2"/>
      <c r="C1913" s="2"/>
      <c r="D1913" s="2"/>
      <c r="E1913" s="5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4"/>
      <c r="B1914" s="2"/>
      <c r="C1914" s="2"/>
      <c r="D1914" s="2"/>
      <c r="E1914" s="5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4"/>
      <c r="B1915" s="2"/>
      <c r="C1915" s="2"/>
      <c r="D1915" s="2"/>
      <c r="E1915" s="5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4"/>
      <c r="B1916" s="2"/>
      <c r="C1916" s="2"/>
      <c r="D1916" s="2"/>
      <c r="E1916" s="5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4"/>
      <c r="B1917" s="2"/>
      <c r="C1917" s="2"/>
      <c r="D1917" s="2"/>
      <c r="E1917" s="5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4"/>
      <c r="B1918" s="2"/>
      <c r="C1918" s="2"/>
      <c r="D1918" s="2"/>
      <c r="E1918" s="5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4"/>
      <c r="B1919" s="2"/>
      <c r="C1919" s="2"/>
      <c r="D1919" s="2"/>
      <c r="E1919" s="5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4"/>
      <c r="B1920" s="2"/>
      <c r="C1920" s="2"/>
      <c r="D1920" s="2"/>
      <c r="E1920" s="5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4"/>
      <c r="B1921" s="2"/>
      <c r="C1921" s="2"/>
      <c r="D1921" s="2"/>
      <c r="E1921" s="5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4"/>
      <c r="B1922" s="2"/>
      <c r="C1922" s="2"/>
      <c r="D1922" s="2"/>
      <c r="E1922" s="5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4"/>
      <c r="B1923" s="2"/>
      <c r="C1923" s="2"/>
      <c r="D1923" s="2"/>
      <c r="E1923" s="5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4"/>
      <c r="B1924" s="2"/>
      <c r="C1924" s="2"/>
      <c r="D1924" s="2"/>
      <c r="E1924" s="5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4"/>
      <c r="B1925" s="2"/>
      <c r="C1925" s="2"/>
      <c r="D1925" s="2"/>
      <c r="E1925" s="5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4"/>
      <c r="B1926" s="2"/>
      <c r="C1926" s="2"/>
      <c r="D1926" s="2"/>
      <c r="E1926" s="5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4"/>
      <c r="B1927" s="2"/>
      <c r="C1927" s="2"/>
      <c r="D1927" s="2"/>
      <c r="E1927" s="5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4"/>
      <c r="B1928" s="2"/>
      <c r="C1928" s="2"/>
      <c r="D1928" s="2"/>
      <c r="E1928" s="5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4"/>
      <c r="B1929" s="2"/>
      <c r="C1929" s="2"/>
      <c r="D1929" s="2"/>
      <c r="E1929" s="5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4"/>
      <c r="B1930" s="2"/>
      <c r="C1930" s="2"/>
      <c r="D1930" s="2"/>
      <c r="E1930" s="5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4"/>
      <c r="B1931" s="2"/>
      <c r="C1931" s="2"/>
      <c r="D1931" s="2"/>
      <c r="E1931" s="5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4"/>
      <c r="B1932" s="2"/>
      <c r="C1932" s="2"/>
      <c r="D1932" s="2"/>
      <c r="E1932" s="5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4"/>
      <c r="B1933" s="2"/>
      <c r="C1933" s="2"/>
      <c r="D1933" s="2"/>
      <c r="E1933" s="5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4"/>
      <c r="B1934" s="2"/>
      <c r="C1934" s="2"/>
      <c r="D1934" s="2"/>
      <c r="E1934" s="5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4"/>
      <c r="B1935" s="2"/>
      <c r="C1935" s="2"/>
      <c r="D1935" s="2"/>
      <c r="E1935" s="5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4"/>
      <c r="B1936" s="2"/>
      <c r="C1936" s="2"/>
      <c r="D1936" s="2"/>
      <c r="E1936" s="5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4"/>
      <c r="B1937" s="2"/>
      <c r="C1937" s="2"/>
      <c r="D1937" s="2"/>
      <c r="E1937" s="5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4"/>
      <c r="B1938" s="2"/>
      <c r="C1938" s="2"/>
      <c r="D1938" s="2"/>
      <c r="E1938" s="5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4"/>
      <c r="B1939" s="2"/>
      <c r="C1939" s="2"/>
      <c r="D1939" s="2"/>
      <c r="E1939" s="5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4"/>
      <c r="B1940" s="2"/>
      <c r="C1940" s="2"/>
      <c r="D1940" s="2"/>
      <c r="E1940" s="5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4"/>
      <c r="B1941" s="2"/>
      <c r="C1941" s="2"/>
      <c r="D1941" s="2"/>
      <c r="E1941" s="5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4"/>
      <c r="B1942" s="2"/>
      <c r="C1942" s="2"/>
      <c r="D1942" s="2"/>
      <c r="E1942" s="5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4"/>
      <c r="B1943" s="2"/>
      <c r="C1943" s="2"/>
      <c r="D1943" s="2"/>
      <c r="E1943" s="5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4"/>
      <c r="B1944" s="2"/>
      <c r="C1944" s="2"/>
      <c r="D1944" s="2"/>
      <c r="E1944" s="5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4"/>
      <c r="B1945" s="2"/>
      <c r="C1945" s="2"/>
      <c r="D1945" s="2"/>
      <c r="E1945" s="5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4"/>
      <c r="B1946" s="2"/>
      <c r="C1946" s="2"/>
      <c r="D1946" s="2"/>
      <c r="E1946" s="5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4"/>
      <c r="B1947" s="2"/>
      <c r="C1947" s="2"/>
      <c r="D1947" s="2"/>
      <c r="E1947" s="5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4"/>
      <c r="B1948" s="2"/>
      <c r="C1948" s="2"/>
      <c r="D1948" s="2"/>
      <c r="E1948" s="5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4"/>
      <c r="B1949" s="2"/>
      <c r="C1949" s="2"/>
      <c r="D1949" s="2"/>
      <c r="E1949" s="5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4"/>
      <c r="B1950" s="2"/>
      <c r="C1950" s="2"/>
      <c r="D1950" s="2"/>
      <c r="E1950" s="5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4"/>
      <c r="B1951" s="2"/>
      <c r="C1951" s="2"/>
      <c r="D1951" s="2"/>
      <c r="E1951" s="5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4"/>
      <c r="B1952" s="2"/>
      <c r="C1952" s="2"/>
      <c r="D1952" s="2"/>
      <c r="E1952" s="5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4"/>
      <c r="B1953" s="2"/>
      <c r="C1953" s="2"/>
      <c r="D1953" s="2"/>
      <c r="E1953" s="5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4"/>
      <c r="B1954" s="2"/>
      <c r="C1954" s="2"/>
      <c r="D1954" s="2"/>
      <c r="E1954" s="5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4"/>
      <c r="B1955" s="2"/>
      <c r="C1955" s="2"/>
      <c r="D1955" s="2"/>
      <c r="E1955" s="5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4"/>
      <c r="B1956" s="2"/>
      <c r="C1956" s="2"/>
      <c r="D1956" s="2"/>
      <c r="E1956" s="5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4"/>
      <c r="B1957" s="2"/>
      <c r="C1957" s="2"/>
      <c r="D1957" s="2"/>
      <c r="E1957" s="5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4"/>
      <c r="B1958" s="2"/>
      <c r="C1958" s="2"/>
      <c r="D1958" s="2"/>
      <c r="E1958" s="5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4"/>
      <c r="B1959" s="2"/>
      <c r="C1959" s="2"/>
      <c r="D1959" s="2"/>
      <c r="E1959" s="5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4"/>
      <c r="B1960" s="2"/>
      <c r="C1960" s="2"/>
      <c r="D1960" s="2"/>
      <c r="E1960" s="5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4"/>
      <c r="B1961" s="2"/>
      <c r="C1961" s="2"/>
      <c r="D1961" s="2"/>
      <c r="E1961" s="5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4"/>
      <c r="B1962" s="2"/>
      <c r="C1962" s="2"/>
      <c r="D1962" s="2"/>
      <c r="E1962" s="5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4"/>
      <c r="B1963" s="2"/>
      <c r="C1963" s="2"/>
      <c r="D1963" s="2"/>
      <c r="E1963" s="5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4"/>
      <c r="B1964" s="2"/>
      <c r="C1964" s="2"/>
      <c r="D1964" s="2"/>
      <c r="E1964" s="5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4"/>
      <c r="B1965" s="2"/>
      <c r="C1965" s="2"/>
      <c r="D1965" s="2"/>
      <c r="E1965" s="5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4"/>
      <c r="B1966" s="2"/>
      <c r="C1966" s="2"/>
      <c r="D1966" s="2"/>
      <c r="E1966" s="5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4"/>
      <c r="B1967" s="2"/>
      <c r="C1967" s="2"/>
      <c r="D1967" s="2"/>
      <c r="E1967" s="5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4"/>
      <c r="B1968" s="2"/>
      <c r="C1968" s="2"/>
      <c r="D1968" s="2"/>
      <c r="E1968" s="5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4"/>
      <c r="B1969" s="2"/>
      <c r="C1969" s="2"/>
      <c r="D1969" s="2"/>
      <c r="E1969" s="5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4"/>
      <c r="B1970" s="2"/>
      <c r="C1970" s="2"/>
      <c r="D1970" s="2"/>
      <c r="E1970" s="5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4"/>
      <c r="B1971" s="2"/>
      <c r="C1971" s="2"/>
      <c r="D1971" s="2"/>
      <c r="E1971" s="5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4"/>
      <c r="B1972" s="2"/>
      <c r="C1972" s="2"/>
      <c r="D1972" s="2"/>
      <c r="E1972" s="5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4"/>
      <c r="B1973" s="2"/>
      <c r="C1973" s="2"/>
      <c r="D1973" s="2"/>
      <c r="E1973" s="5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4"/>
      <c r="B1974" s="2"/>
      <c r="C1974" s="2"/>
      <c r="D1974" s="2"/>
      <c r="E1974" s="5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4"/>
      <c r="B1975" s="2"/>
      <c r="C1975" s="2"/>
      <c r="D1975" s="2"/>
      <c r="E1975" s="5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4"/>
      <c r="B1976" s="2"/>
      <c r="C1976" s="2"/>
      <c r="D1976" s="2"/>
      <c r="E1976" s="5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4"/>
      <c r="B1977" s="2"/>
      <c r="C1977" s="2"/>
      <c r="D1977" s="2"/>
      <c r="E1977" s="5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4"/>
      <c r="B1978" s="2"/>
      <c r="C1978" s="2"/>
      <c r="D1978" s="2"/>
      <c r="E1978" s="5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4"/>
      <c r="B1979" s="2"/>
      <c r="C1979" s="2"/>
      <c r="D1979" s="2"/>
      <c r="E1979" s="5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4"/>
      <c r="B1980" s="2"/>
      <c r="C1980" s="2"/>
      <c r="D1980" s="2"/>
      <c r="E1980" s="5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4"/>
      <c r="B1981" s="2"/>
      <c r="C1981" s="2"/>
      <c r="D1981" s="2"/>
      <c r="E1981" s="5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4"/>
      <c r="B1982" s="2"/>
      <c r="C1982" s="2"/>
      <c r="D1982" s="2"/>
      <c r="E1982" s="5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4"/>
      <c r="B1983" s="2"/>
      <c r="C1983" s="2"/>
      <c r="D1983" s="2"/>
      <c r="E1983" s="5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4"/>
      <c r="B1984" s="2"/>
      <c r="C1984" s="2"/>
      <c r="D1984" s="2"/>
      <c r="E1984" s="5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4"/>
      <c r="B1985" s="2"/>
      <c r="C1985" s="2"/>
      <c r="D1985" s="2"/>
      <c r="E1985" s="5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4"/>
      <c r="B1986" s="2"/>
      <c r="C1986" s="2"/>
      <c r="D1986" s="2"/>
      <c r="E1986" s="5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4"/>
      <c r="B1987" s="2"/>
      <c r="C1987" s="2"/>
      <c r="D1987" s="2"/>
      <c r="E1987" s="5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4"/>
      <c r="B1988" s="2"/>
      <c r="C1988" s="2"/>
      <c r="D1988" s="2"/>
      <c r="E1988" s="5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4"/>
      <c r="B1989" s="2"/>
      <c r="C1989" s="2"/>
      <c r="D1989" s="2"/>
      <c r="E1989" s="5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4"/>
      <c r="B1990" s="2"/>
      <c r="C1990" s="2"/>
      <c r="D1990" s="2"/>
      <c r="E1990" s="5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4"/>
      <c r="B1991" s="2"/>
      <c r="C1991" s="2"/>
      <c r="D1991" s="2"/>
      <c r="E1991" s="5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4"/>
      <c r="B1992" s="2"/>
      <c r="C1992" s="2"/>
      <c r="D1992" s="2"/>
      <c r="E1992" s="5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4"/>
      <c r="B1993" s="2"/>
      <c r="C1993" s="2"/>
      <c r="D1993" s="2"/>
      <c r="E1993" s="5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4"/>
      <c r="B1994" s="2"/>
      <c r="C1994" s="2"/>
      <c r="D1994" s="2"/>
      <c r="E1994" s="5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4"/>
      <c r="B1995" s="2"/>
      <c r="C1995" s="2"/>
      <c r="D1995" s="2"/>
      <c r="E1995" s="5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4"/>
      <c r="B1996" s="2"/>
      <c r="C1996" s="2"/>
      <c r="D1996" s="2"/>
      <c r="E1996" s="5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4"/>
      <c r="B1997" s="2"/>
      <c r="C1997" s="2"/>
      <c r="D1997" s="2"/>
      <c r="E1997" s="5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4"/>
      <c r="B1998" s="2"/>
      <c r="C1998" s="2"/>
      <c r="D1998" s="2"/>
      <c r="E1998" s="5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4"/>
      <c r="B1999" s="2"/>
      <c r="C1999" s="2"/>
      <c r="D1999" s="2"/>
      <c r="E1999" s="5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4"/>
      <c r="B2000" s="2"/>
      <c r="C2000" s="2"/>
      <c r="D2000" s="2"/>
      <c r="E2000" s="5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4"/>
      <c r="B2001" s="2"/>
      <c r="C2001" s="2"/>
      <c r="D2001" s="2"/>
      <c r="E2001" s="5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4"/>
      <c r="B2002" s="2"/>
      <c r="C2002" s="2"/>
      <c r="D2002" s="2"/>
      <c r="E2002" s="5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4"/>
      <c r="B2003" s="2"/>
      <c r="C2003" s="2"/>
      <c r="D2003" s="2"/>
      <c r="E2003" s="5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4"/>
      <c r="B2004" s="2"/>
      <c r="C2004" s="2"/>
      <c r="D2004" s="2"/>
      <c r="E2004" s="5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4"/>
      <c r="B2005" s="2"/>
      <c r="C2005" s="2"/>
      <c r="D2005" s="2"/>
      <c r="E2005" s="5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4"/>
      <c r="B2006" s="2"/>
      <c r="C2006" s="2"/>
      <c r="D2006" s="2"/>
      <c r="E2006" s="5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4"/>
      <c r="B2007" s="2"/>
      <c r="C2007" s="2"/>
      <c r="D2007" s="2"/>
      <c r="E2007" s="5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4"/>
      <c r="B2008" s="2"/>
      <c r="C2008" s="2"/>
      <c r="D2008" s="2"/>
      <c r="E2008" s="5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4"/>
      <c r="B2009" s="2"/>
      <c r="C2009" s="2"/>
      <c r="D2009" s="2"/>
      <c r="E2009" s="5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4"/>
      <c r="B2010" s="2"/>
      <c r="C2010" s="2"/>
      <c r="D2010" s="2"/>
      <c r="E2010" s="5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4"/>
      <c r="B2011" s="2"/>
      <c r="C2011" s="2"/>
      <c r="D2011" s="2"/>
      <c r="E2011" s="5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4"/>
      <c r="B2012" s="2"/>
      <c r="C2012" s="2"/>
      <c r="D2012" s="2"/>
      <c r="E2012" s="5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4"/>
      <c r="B2013" s="2"/>
      <c r="C2013" s="2"/>
      <c r="D2013" s="2"/>
      <c r="E2013" s="5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4"/>
      <c r="B2014" s="2"/>
      <c r="C2014" s="2"/>
      <c r="D2014" s="2"/>
      <c r="E2014" s="5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4"/>
      <c r="B2015" s="2"/>
      <c r="C2015" s="2"/>
      <c r="D2015" s="2"/>
      <c r="E2015" s="5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4"/>
      <c r="B2016" s="2"/>
      <c r="C2016" s="2"/>
      <c r="D2016" s="2"/>
      <c r="E2016" s="5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4"/>
      <c r="B2017" s="2"/>
      <c r="C2017" s="2"/>
      <c r="D2017" s="2"/>
      <c r="E2017" s="5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4"/>
      <c r="B2018" s="2"/>
      <c r="C2018" s="2"/>
      <c r="D2018" s="2"/>
      <c r="E2018" s="5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4"/>
      <c r="B2019" s="2"/>
      <c r="C2019" s="2"/>
      <c r="D2019" s="2"/>
      <c r="E2019" s="5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4"/>
      <c r="B2020" s="2"/>
      <c r="C2020" s="2"/>
      <c r="D2020" s="2"/>
      <c r="E2020" s="5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4"/>
      <c r="B2021" s="2"/>
      <c r="C2021" s="2"/>
      <c r="D2021" s="2"/>
      <c r="E2021" s="5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4"/>
      <c r="B2022" s="2"/>
      <c r="C2022" s="2"/>
      <c r="D2022" s="2"/>
      <c r="E2022" s="5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4"/>
      <c r="B2023" s="2"/>
      <c r="C2023" s="2"/>
      <c r="D2023" s="2"/>
      <c r="E2023" s="5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4"/>
      <c r="B2024" s="2"/>
      <c r="C2024" s="2"/>
      <c r="D2024" s="2"/>
      <c r="E2024" s="5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4"/>
      <c r="B2025" s="2"/>
      <c r="C2025" s="2"/>
      <c r="D2025" s="2"/>
      <c r="E2025" s="5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4"/>
      <c r="B2026" s="2"/>
      <c r="C2026" s="2"/>
      <c r="D2026" s="2"/>
      <c r="E2026" s="5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4"/>
      <c r="B2027" s="2"/>
      <c r="C2027" s="2"/>
      <c r="D2027" s="2"/>
      <c r="E2027" s="5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4"/>
      <c r="B2028" s="2"/>
      <c r="C2028" s="2"/>
      <c r="D2028" s="2"/>
      <c r="E2028" s="5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4"/>
      <c r="B2029" s="2"/>
      <c r="C2029" s="2"/>
      <c r="D2029" s="2"/>
      <c r="E2029" s="5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4"/>
      <c r="B2030" s="2"/>
      <c r="C2030" s="2"/>
      <c r="D2030" s="2"/>
      <c r="E2030" s="5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4"/>
      <c r="B2031" s="2"/>
      <c r="C2031" s="2"/>
      <c r="D2031" s="2"/>
      <c r="E2031" s="5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4"/>
      <c r="B2032" s="2"/>
      <c r="C2032" s="2"/>
      <c r="D2032" s="2"/>
      <c r="E2032" s="5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4"/>
      <c r="B2033" s="2"/>
      <c r="C2033" s="2"/>
      <c r="D2033" s="2"/>
      <c r="E2033" s="5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4"/>
      <c r="B2034" s="2"/>
      <c r="C2034" s="2"/>
      <c r="D2034" s="2"/>
      <c r="E2034" s="5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4"/>
      <c r="B2035" s="2"/>
      <c r="C2035" s="2"/>
      <c r="D2035" s="2"/>
      <c r="E2035" s="5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4"/>
      <c r="B2036" s="2"/>
      <c r="C2036" s="2"/>
      <c r="D2036" s="2"/>
      <c r="E2036" s="5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4"/>
      <c r="B2037" s="2"/>
      <c r="C2037" s="2"/>
      <c r="D2037" s="2"/>
      <c r="E2037" s="5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4"/>
      <c r="B2038" s="2"/>
      <c r="C2038" s="2"/>
      <c r="D2038" s="2"/>
      <c r="E2038" s="5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4"/>
      <c r="B2039" s="2"/>
      <c r="C2039" s="2"/>
      <c r="D2039" s="2"/>
      <c r="E2039" s="5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4"/>
      <c r="B2040" s="2"/>
      <c r="C2040" s="2"/>
      <c r="D2040" s="2"/>
      <c r="E2040" s="5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4"/>
      <c r="B2041" s="2"/>
      <c r="C2041" s="2"/>
      <c r="D2041" s="2"/>
      <c r="E2041" s="5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4"/>
      <c r="B2042" s="2"/>
      <c r="C2042" s="2"/>
      <c r="D2042" s="2"/>
      <c r="E2042" s="5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4"/>
      <c r="B2043" s="2"/>
      <c r="C2043" s="2"/>
      <c r="D2043" s="2"/>
      <c r="E2043" s="5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4"/>
      <c r="B2044" s="2"/>
      <c r="C2044" s="2"/>
      <c r="D2044" s="2"/>
      <c r="E2044" s="5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4"/>
      <c r="B2045" s="2"/>
      <c r="C2045" s="2"/>
      <c r="D2045" s="2"/>
      <c r="E2045" s="5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4"/>
      <c r="B2046" s="2"/>
      <c r="C2046" s="2"/>
      <c r="D2046" s="2"/>
      <c r="E2046" s="5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4"/>
      <c r="B2047" s="2"/>
      <c r="C2047" s="2"/>
      <c r="D2047" s="2"/>
      <c r="E2047" s="5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4"/>
      <c r="B2048" s="2"/>
      <c r="C2048" s="2"/>
      <c r="D2048" s="2"/>
      <c r="E2048" s="5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4"/>
      <c r="B2049" s="2"/>
      <c r="C2049" s="2"/>
      <c r="D2049" s="2"/>
      <c r="E2049" s="5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4"/>
      <c r="B2050" s="2"/>
      <c r="C2050" s="2"/>
      <c r="D2050" s="2"/>
      <c r="E2050" s="5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4"/>
      <c r="B2051" s="2"/>
      <c r="C2051" s="2"/>
      <c r="D2051" s="2"/>
      <c r="E2051" s="5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4"/>
      <c r="B2052" s="2"/>
      <c r="C2052" s="2"/>
      <c r="D2052" s="2"/>
      <c r="E2052" s="5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4"/>
      <c r="B2053" s="2"/>
      <c r="C2053" s="2"/>
      <c r="D2053" s="2"/>
      <c r="E2053" s="5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4"/>
      <c r="B2054" s="2"/>
      <c r="C2054" s="2"/>
      <c r="D2054" s="2"/>
      <c r="E2054" s="5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4"/>
      <c r="B2055" s="2"/>
      <c r="C2055" s="2"/>
      <c r="D2055" s="2"/>
      <c r="E2055" s="5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4"/>
      <c r="B2056" s="2"/>
      <c r="C2056" s="2"/>
      <c r="D2056" s="2"/>
      <c r="E2056" s="5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4"/>
      <c r="B2057" s="2"/>
      <c r="C2057" s="2"/>
      <c r="D2057" s="2"/>
      <c r="E2057" s="5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4"/>
      <c r="B2058" s="2"/>
      <c r="C2058" s="2"/>
      <c r="D2058" s="2"/>
      <c r="E2058" s="5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4"/>
      <c r="B2059" s="2"/>
      <c r="C2059" s="2"/>
      <c r="D2059" s="2"/>
      <c r="E2059" s="5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4"/>
      <c r="B2060" s="2"/>
      <c r="C2060" s="2"/>
      <c r="D2060" s="2"/>
      <c r="E2060" s="5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4"/>
      <c r="B2061" s="2"/>
      <c r="C2061" s="2"/>
      <c r="D2061" s="2"/>
      <c r="E2061" s="5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4"/>
      <c r="B2062" s="2"/>
      <c r="C2062" s="2"/>
      <c r="D2062" s="2"/>
      <c r="E2062" s="5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4"/>
      <c r="B2063" s="2"/>
      <c r="C2063" s="2"/>
      <c r="D2063" s="2"/>
      <c r="E2063" s="5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4"/>
      <c r="B2064" s="2"/>
      <c r="C2064" s="2"/>
      <c r="D2064" s="2"/>
      <c r="E2064" s="5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4"/>
      <c r="B2065" s="2"/>
      <c r="C2065" s="2"/>
      <c r="D2065" s="2"/>
      <c r="E2065" s="5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4"/>
      <c r="B2066" s="2"/>
      <c r="C2066" s="2"/>
      <c r="D2066" s="2"/>
      <c r="E2066" s="5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4"/>
      <c r="B2067" s="2"/>
      <c r="C2067" s="2"/>
      <c r="D2067" s="2"/>
      <c r="E2067" s="5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4"/>
      <c r="B2068" s="2"/>
      <c r="C2068" s="2"/>
      <c r="D2068" s="2"/>
      <c r="E2068" s="5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4"/>
      <c r="B2069" s="2"/>
      <c r="C2069" s="2"/>
      <c r="D2069" s="2"/>
      <c r="E2069" s="5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4"/>
      <c r="B2070" s="2"/>
      <c r="C2070" s="2"/>
      <c r="D2070" s="2"/>
      <c r="E2070" s="5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4"/>
      <c r="B2071" s="2"/>
      <c r="C2071" s="2"/>
      <c r="D2071" s="2"/>
      <c r="E2071" s="5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4"/>
      <c r="B2072" s="2"/>
      <c r="C2072" s="2"/>
      <c r="D2072" s="2"/>
      <c r="E2072" s="5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4"/>
      <c r="B2073" s="2"/>
      <c r="C2073" s="2"/>
      <c r="D2073" s="2"/>
      <c r="E2073" s="5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4"/>
      <c r="B2074" s="2"/>
      <c r="C2074" s="2"/>
      <c r="D2074" s="2"/>
      <c r="E2074" s="5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4"/>
      <c r="B2075" s="2"/>
      <c r="C2075" s="2"/>
      <c r="D2075" s="2"/>
      <c r="E2075" s="5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4"/>
      <c r="B2076" s="2"/>
      <c r="C2076" s="2"/>
      <c r="D2076" s="2"/>
      <c r="E2076" s="5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4"/>
      <c r="B2077" s="2"/>
      <c r="C2077" s="2"/>
      <c r="D2077" s="2"/>
      <c r="E2077" s="5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4"/>
      <c r="B2078" s="2"/>
      <c r="C2078" s="2"/>
      <c r="D2078" s="2"/>
      <c r="E2078" s="5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4"/>
      <c r="B2079" s="2"/>
      <c r="C2079" s="2"/>
      <c r="D2079" s="2"/>
      <c r="E2079" s="5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4"/>
      <c r="B2080" s="2"/>
      <c r="C2080" s="2"/>
      <c r="D2080" s="2"/>
      <c r="E2080" s="5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4"/>
      <c r="B2081" s="2"/>
      <c r="C2081" s="2"/>
      <c r="D2081" s="2"/>
      <c r="E2081" s="5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4"/>
      <c r="B2082" s="2"/>
      <c r="C2082" s="2"/>
      <c r="D2082" s="2"/>
      <c r="E2082" s="5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4"/>
      <c r="B2083" s="2"/>
      <c r="C2083" s="2"/>
      <c r="D2083" s="2"/>
      <c r="E2083" s="5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4"/>
      <c r="B2084" s="2"/>
      <c r="C2084" s="2"/>
      <c r="D2084" s="2"/>
      <c r="E2084" s="5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4"/>
      <c r="B2085" s="2"/>
      <c r="C2085" s="2"/>
      <c r="D2085" s="2"/>
      <c r="E2085" s="5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4"/>
      <c r="B2086" s="2"/>
      <c r="C2086" s="2"/>
      <c r="D2086" s="2"/>
      <c r="E2086" s="5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4"/>
      <c r="B2087" s="2"/>
      <c r="C2087" s="2"/>
      <c r="D2087" s="2"/>
      <c r="E2087" s="5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4"/>
      <c r="B2088" s="2"/>
      <c r="C2088" s="2"/>
      <c r="D2088" s="2"/>
      <c r="E2088" s="5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4"/>
      <c r="B2089" s="2"/>
      <c r="C2089" s="2"/>
      <c r="D2089" s="2"/>
      <c r="E2089" s="5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4"/>
      <c r="B2090" s="2"/>
      <c r="C2090" s="2"/>
      <c r="D2090" s="2"/>
      <c r="E2090" s="5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4"/>
      <c r="B2091" s="2"/>
      <c r="C2091" s="2"/>
      <c r="D2091" s="2"/>
      <c r="E2091" s="5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4"/>
      <c r="B2092" s="2"/>
      <c r="C2092" s="2"/>
      <c r="D2092" s="2"/>
      <c r="E2092" s="5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4"/>
      <c r="B2093" s="2"/>
      <c r="C2093" s="2"/>
      <c r="D2093" s="2"/>
      <c r="E2093" s="5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4"/>
      <c r="B2094" s="2"/>
      <c r="C2094" s="2"/>
      <c r="D2094" s="2"/>
      <c r="E2094" s="5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4"/>
      <c r="B2095" s="2"/>
      <c r="C2095" s="2"/>
      <c r="D2095" s="2"/>
      <c r="E2095" s="5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4"/>
      <c r="B2096" s="2"/>
      <c r="C2096" s="2"/>
      <c r="D2096" s="2"/>
      <c r="E2096" s="5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4"/>
      <c r="B2097" s="2"/>
      <c r="C2097" s="2"/>
      <c r="D2097" s="2"/>
      <c r="E2097" s="5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4"/>
      <c r="B2098" s="2"/>
      <c r="C2098" s="2"/>
      <c r="D2098" s="2"/>
      <c r="E2098" s="5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4"/>
      <c r="B2099" s="2"/>
      <c r="C2099" s="2"/>
      <c r="D2099" s="2"/>
      <c r="E2099" s="5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4"/>
      <c r="B2100" s="2"/>
      <c r="C2100" s="2"/>
      <c r="D2100" s="2"/>
      <c r="E2100" s="5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4"/>
      <c r="B2101" s="2"/>
      <c r="C2101" s="2"/>
      <c r="D2101" s="2"/>
      <c r="E2101" s="5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4"/>
      <c r="B2102" s="2"/>
      <c r="C2102" s="2"/>
      <c r="D2102" s="2"/>
      <c r="E2102" s="5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4"/>
      <c r="B2103" s="2"/>
      <c r="C2103" s="2"/>
      <c r="D2103" s="2"/>
      <c r="E2103" s="5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4"/>
      <c r="B2104" s="2"/>
      <c r="C2104" s="2"/>
      <c r="D2104" s="2"/>
      <c r="E2104" s="5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4"/>
      <c r="B2105" s="2"/>
      <c r="C2105" s="2"/>
      <c r="D2105" s="2"/>
      <c r="E2105" s="5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4"/>
      <c r="B2106" s="2"/>
      <c r="C2106" s="2"/>
      <c r="D2106" s="2"/>
      <c r="E2106" s="5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4"/>
      <c r="B2107" s="2"/>
      <c r="C2107" s="2"/>
      <c r="D2107" s="2"/>
      <c r="E2107" s="5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4"/>
      <c r="B2108" s="2"/>
      <c r="C2108" s="2"/>
      <c r="D2108" s="2"/>
      <c r="E2108" s="5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4"/>
      <c r="B2109" s="2"/>
      <c r="C2109" s="2"/>
      <c r="D2109" s="2"/>
      <c r="E2109" s="5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4"/>
      <c r="B2110" s="2"/>
      <c r="C2110" s="2"/>
      <c r="D2110" s="2"/>
      <c r="E2110" s="5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4"/>
      <c r="B2111" s="2"/>
      <c r="C2111" s="2"/>
      <c r="D2111" s="2"/>
      <c r="E2111" s="5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4"/>
      <c r="B2112" s="2"/>
      <c r="C2112" s="2"/>
      <c r="D2112" s="2"/>
      <c r="E2112" s="5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4"/>
      <c r="B2113" s="2"/>
      <c r="C2113" s="2"/>
      <c r="D2113" s="2"/>
      <c r="E2113" s="5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4"/>
      <c r="B2114" s="2"/>
      <c r="C2114" s="2"/>
      <c r="D2114" s="2"/>
      <c r="E2114" s="5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4"/>
      <c r="B2115" s="2"/>
      <c r="C2115" s="2"/>
      <c r="D2115" s="2"/>
      <c r="E2115" s="5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4"/>
      <c r="B2116" s="2"/>
      <c r="C2116" s="2"/>
      <c r="D2116" s="2"/>
      <c r="E2116" s="5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4"/>
      <c r="B2117" s="2"/>
      <c r="C2117" s="2"/>
      <c r="D2117" s="2"/>
      <c r="E2117" s="5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4"/>
      <c r="B2118" s="2"/>
      <c r="C2118" s="2"/>
      <c r="D2118" s="2"/>
      <c r="E2118" s="5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4"/>
      <c r="B2119" s="2"/>
      <c r="C2119" s="2"/>
      <c r="D2119" s="2"/>
      <c r="E2119" s="5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4"/>
      <c r="B2120" s="2"/>
      <c r="C2120" s="2"/>
      <c r="D2120" s="2"/>
      <c r="E2120" s="5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4"/>
      <c r="B2121" s="2"/>
      <c r="C2121" s="2"/>
      <c r="D2121" s="2"/>
      <c r="E2121" s="5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4"/>
      <c r="B2122" s="2"/>
      <c r="C2122" s="2"/>
      <c r="D2122" s="2"/>
      <c r="E2122" s="5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4"/>
      <c r="B2123" s="2"/>
      <c r="C2123" s="2"/>
      <c r="D2123" s="2"/>
      <c r="E2123" s="5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4"/>
      <c r="B2124" s="2"/>
      <c r="C2124" s="2"/>
      <c r="D2124" s="2"/>
      <c r="E2124" s="5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4"/>
      <c r="B2125" s="2"/>
      <c r="C2125" s="2"/>
      <c r="D2125" s="2"/>
      <c r="E2125" s="5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4"/>
      <c r="B2126" s="2"/>
      <c r="C2126" s="2"/>
      <c r="D2126" s="2"/>
      <c r="E2126" s="5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4"/>
      <c r="B2127" s="2"/>
      <c r="C2127" s="2"/>
      <c r="D2127" s="2"/>
      <c r="E2127" s="5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4"/>
      <c r="B2128" s="2"/>
      <c r="C2128" s="2"/>
      <c r="D2128" s="2"/>
      <c r="E2128" s="5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4"/>
      <c r="B2129" s="2"/>
      <c r="C2129" s="2"/>
      <c r="D2129" s="2"/>
      <c r="E2129" s="5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4"/>
      <c r="B2130" s="2"/>
      <c r="C2130" s="2"/>
      <c r="D2130" s="2"/>
      <c r="E2130" s="5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4"/>
      <c r="B2131" s="2"/>
      <c r="C2131" s="2"/>
      <c r="D2131" s="2"/>
      <c r="E2131" s="5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4"/>
      <c r="B2132" s="2"/>
      <c r="C2132" s="2"/>
      <c r="D2132" s="2"/>
      <c r="E2132" s="5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4"/>
      <c r="B2133" s="2"/>
      <c r="C2133" s="2"/>
      <c r="D2133" s="2"/>
      <c r="E2133" s="5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4"/>
      <c r="B2134" s="2"/>
      <c r="C2134" s="2"/>
      <c r="D2134" s="2"/>
      <c r="E2134" s="5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4"/>
      <c r="B2135" s="2"/>
      <c r="C2135" s="2"/>
      <c r="D2135" s="2"/>
      <c r="E2135" s="5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4"/>
      <c r="B2136" s="2"/>
      <c r="C2136" s="2"/>
      <c r="D2136" s="2"/>
      <c r="E2136" s="5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4"/>
      <c r="B2137" s="2"/>
      <c r="C2137" s="2"/>
      <c r="D2137" s="2"/>
      <c r="E2137" s="5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4"/>
      <c r="B2138" s="2"/>
      <c r="C2138" s="2"/>
      <c r="D2138" s="2"/>
      <c r="E2138" s="5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4"/>
      <c r="B2139" s="2"/>
      <c r="C2139" s="2"/>
      <c r="D2139" s="2"/>
      <c r="E2139" s="5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4"/>
      <c r="B2140" s="2"/>
      <c r="C2140" s="2"/>
      <c r="D2140" s="2"/>
      <c r="E2140" s="5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4"/>
      <c r="B2141" s="2"/>
      <c r="C2141" s="2"/>
      <c r="D2141" s="2"/>
      <c r="E2141" s="5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4"/>
      <c r="B2142" s="2"/>
      <c r="C2142" s="2"/>
      <c r="D2142" s="2"/>
      <c r="E2142" s="5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4"/>
      <c r="B2143" s="2"/>
      <c r="C2143" s="2"/>
      <c r="D2143" s="2"/>
      <c r="E2143" s="5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4"/>
      <c r="B2144" s="2"/>
      <c r="C2144" s="2"/>
      <c r="D2144" s="2"/>
      <c r="E2144" s="5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4"/>
      <c r="B2145" s="2"/>
      <c r="C2145" s="2"/>
      <c r="D2145" s="2"/>
      <c r="E2145" s="5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4"/>
      <c r="B2146" s="2"/>
      <c r="C2146" s="2"/>
      <c r="D2146" s="2"/>
      <c r="E2146" s="5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4"/>
      <c r="B2147" s="2"/>
      <c r="C2147" s="2"/>
      <c r="D2147" s="2"/>
      <c r="E2147" s="5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4"/>
      <c r="B2148" s="2"/>
      <c r="C2148" s="2"/>
      <c r="D2148" s="2"/>
      <c r="E2148" s="5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4"/>
      <c r="B2149" s="2"/>
      <c r="C2149" s="2"/>
      <c r="D2149" s="2"/>
      <c r="E2149" s="5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4"/>
      <c r="B2150" s="2"/>
      <c r="C2150" s="2"/>
      <c r="D2150" s="2"/>
      <c r="E2150" s="5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4"/>
      <c r="B2151" s="2"/>
      <c r="C2151" s="2"/>
      <c r="D2151" s="2"/>
      <c r="E2151" s="5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4"/>
      <c r="B2152" s="2"/>
      <c r="C2152" s="2"/>
      <c r="D2152" s="2"/>
      <c r="E2152" s="5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4"/>
      <c r="B2153" s="2"/>
      <c r="C2153" s="2"/>
      <c r="D2153" s="2"/>
      <c r="E2153" s="5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4"/>
      <c r="B2154" s="2"/>
      <c r="C2154" s="2"/>
      <c r="D2154" s="2"/>
      <c r="E2154" s="5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4"/>
      <c r="B2155" s="2"/>
      <c r="C2155" s="2"/>
      <c r="D2155" s="2"/>
      <c r="E2155" s="5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4"/>
      <c r="B2156" s="2"/>
      <c r="C2156" s="2"/>
      <c r="D2156" s="2"/>
      <c r="E2156" s="5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4"/>
      <c r="B2157" s="2"/>
      <c r="C2157" s="2"/>
      <c r="D2157" s="2"/>
      <c r="E2157" s="5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4"/>
      <c r="B2158" s="2"/>
      <c r="C2158" s="2"/>
      <c r="D2158" s="2"/>
      <c r="E2158" s="5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4"/>
      <c r="B2159" s="2"/>
      <c r="C2159" s="2"/>
      <c r="D2159" s="2"/>
      <c r="E2159" s="5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4"/>
      <c r="B2160" s="2"/>
      <c r="C2160" s="2"/>
      <c r="D2160" s="2"/>
      <c r="E2160" s="5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4"/>
      <c r="B2161" s="2"/>
      <c r="C2161" s="2"/>
      <c r="D2161" s="2"/>
      <c r="E2161" s="5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4"/>
      <c r="B2162" s="2"/>
      <c r="C2162" s="2"/>
      <c r="D2162" s="2"/>
      <c r="E2162" s="5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4"/>
      <c r="B2163" s="2"/>
      <c r="C2163" s="2"/>
      <c r="D2163" s="2"/>
      <c r="E2163" s="5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4"/>
      <c r="B2164" s="2"/>
      <c r="C2164" s="2"/>
      <c r="D2164" s="2"/>
      <c r="E2164" s="5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4"/>
      <c r="B2165" s="2"/>
      <c r="C2165" s="2"/>
      <c r="D2165" s="2"/>
      <c r="E2165" s="5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4"/>
      <c r="B2166" s="2"/>
      <c r="C2166" s="2"/>
      <c r="D2166" s="2"/>
      <c r="E2166" s="5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4"/>
      <c r="B2167" s="2"/>
      <c r="C2167" s="2"/>
      <c r="D2167" s="2"/>
      <c r="E2167" s="5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4"/>
      <c r="B2168" s="2"/>
      <c r="C2168" s="2"/>
      <c r="D2168" s="2"/>
      <c r="E2168" s="5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4"/>
      <c r="B2169" s="2"/>
      <c r="C2169" s="2"/>
      <c r="D2169" s="2"/>
      <c r="E2169" s="5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4"/>
      <c r="B2170" s="2"/>
      <c r="C2170" s="2"/>
      <c r="D2170" s="2"/>
      <c r="E2170" s="5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4"/>
      <c r="B2171" s="2"/>
      <c r="C2171" s="2"/>
      <c r="D2171" s="2"/>
      <c r="E2171" s="5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4"/>
      <c r="B2172" s="2"/>
      <c r="C2172" s="2"/>
      <c r="D2172" s="2"/>
      <c r="E2172" s="5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4"/>
      <c r="B2173" s="2"/>
      <c r="C2173" s="2"/>
      <c r="D2173" s="2"/>
      <c r="E2173" s="5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4"/>
      <c r="B2174" s="2"/>
      <c r="C2174" s="2"/>
      <c r="D2174" s="2"/>
      <c r="E2174" s="5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4"/>
      <c r="B2175" s="2"/>
      <c r="C2175" s="2"/>
      <c r="D2175" s="2"/>
      <c r="E2175" s="5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4"/>
      <c r="B2176" s="2"/>
      <c r="C2176" s="2"/>
      <c r="D2176" s="2"/>
      <c r="E2176" s="5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4"/>
      <c r="B2177" s="2"/>
      <c r="C2177" s="2"/>
      <c r="D2177" s="2"/>
      <c r="E2177" s="5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4"/>
      <c r="B2178" s="2"/>
      <c r="C2178" s="2"/>
      <c r="D2178" s="2"/>
      <c r="E2178" s="5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4"/>
      <c r="B2179" s="2"/>
      <c r="C2179" s="2"/>
      <c r="D2179" s="2"/>
      <c r="E2179" s="5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4"/>
      <c r="B2180" s="2"/>
      <c r="C2180" s="2"/>
      <c r="D2180" s="2"/>
      <c r="E2180" s="5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4"/>
      <c r="B2181" s="2"/>
      <c r="C2181" s="2"/>
      <c r="D2181" s="2"/>
      <c r="E2181" s="5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4"/>
      <c r="B2182" s="2"/>
      <c r="C2182" s="2"/>
      <c r="D2182" s="2"/>
      <c r="E2182" s="5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4"/>
      <c r="B2183" s="2"/>
      <c r="C2183" s="2"/>
      <c r="D2183" s="2"/>
      <c r="E2183" s="5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4"/>
      <c r="B2184" s="2"/>
      <c r="C2184" s="2"/>
      <c r="D2184" s="2"/>
      <c r="E2184" s="5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4"/>
      <c r="B2185" s="2"/>
      <c r="C2185" s="2"/>
      <c r="D2185" s="2"/>
      <c r="E2185" s="5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4"/>
      <c r="B2186" s="2"/>
      <c r="C2186" s="2"/>
      <c r="D2186" s="2"/>
      <c r="E2186" s="5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4"/>
      <c r="B2187" s="2"/>
      <c r="C2187" s="2"/>
      <c r="D2187" s="2"/>
      <c r="E2187" s="5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4"/>
      <c r="B2188" s="2"/>
      <c r="C2188" s="2"/>
      <c r="D2188" s="2"/>
      <c r="E2188" s="5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4"/>
      <c r="B2189" s="2"/>
      <c r="C2189" s="2"/>
      <c r="D2189" s="2"/>
      <c r="E2189" s="5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4"/>
      <c r="B2190" s="2"/>
      <c r="C2190" s="2"/>
      <c r="D2190" s="2"/>
      <c r="E2190" s="5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4"/>
      <c r="B2191" s="2"/>
      <c r="C2191" s="2"/>
      <c r="D2191" s="2"/>
      <c r="E2191" s="5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4"/>
      <c r="B2192" s="2"/>
      <c r="C2192" s="2"/>
      <c r="D2192" s="2"/>
      <c r="E2192" s="5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4"/>
      <c r="B2193" s="2"/>
      <c r="C2193" s="2"/>
      <c r="D2193" s="2"/>
      <c r="E2193" s="5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4"/>
      <c r="B2194" s="2"/>
      <c r="C2194" s="2"/>
      <c r="D2194" s="2"/>
      <c r="E2194" s="5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4"/>
      <c r="B2195" s="2"/>
      <c r="C2195" s="2"/>
      <c r="D2195" s="2"/>
      <c r="E2195" s="5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4"/>
      <c r="B2196" s="2"/>
      <c r="C2196" s="2"/>
      <c r="D2196" s="2"/>
      <c r="E2196" s="5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4"/>
      <c r="B2197" s="2"/>
      <c r="C2197" s="2"/>
      <c r="D2197" s="2"/>
      <c r="E2197" s="5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4"/>
      <c r="B2198" s="2"/>
      <c r="C2198" s="2"/>
      <c r="D2198" s="2"/>
      <c r="E2198" s="5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4"/>
      <c r="B2199" s="2"/>
      <c r="C2199" s="2"/>
      <c r="D2199" s="2"/>
      <c r="E2199" s="5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4"/>
      <c r="B2200" s="2"/>
      <c r="C2200" s="2"/>
      <c r="D2200" s="2"/>
      <c r="E2200" s="5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4"/>
      <c r="B2201" s="2"/>
      <c r="C2201" s="2"/>
      <c r="D2201" s="2"/>
      <c r="E2201" s="5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4"/>
      <c r="B2202" s="2"/>
      <c r="C2202" s="2"/>
      <c r="D2202" s="2"/>
      <c r="E2202" s="5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4"/>
      <c r="B2203" s="2"/>
      <c r="C2203" s="2"/>
      <c r="D2203" s="2"/>
      <c r="E2203" s="5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4"/>
      <c r="B2204" s="2"/>
      <c r="C2204" s="2"/>
      <c r="D2204" s="2"/>
      <c r="E2204" s="5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4"/>
      <c r="B2205" s="2"/>
      <c r="C2205" s="2"/>
      <c r="D2205" s="2"/>
      <c r="E2205" s="5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4"/>
      <c r="B2206" s="2"/>
      <c r="C2206" s="2"/>
      <c r="D2206" s="2"/>
      <c r="E2206" s="5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4"/>
      <c r="B2207" s="2"/>
      <c r="C2207" s="2"/>
      <c r="D2207" s="2"/>
      <c r="E2207" s="5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4"/>
      <c r="B2208" s="2"/>
      <c r="C2208" s="2"/>
      <c r="D2208" s="2"/>
      <c r="E2208" s="5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4"/>
      <c r="B2209" s="2"/>
      <c r="C2209" s="2"/>
      <c r="D2209" s="2"/>
      <c r="E2209" s="5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4"/>
      <c r="B2210" s="2"/>
      <c r="C2210" s="2"/>
      <c r="D2210" s="2"/>
      <c r="E2210" s="5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4"/>
      <c r="B2211" s="2"/>
      <c r="C2211" s="2"/>
      <c r="D2211" s="2"/>
      <c r="E2211" s="5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4"/>
      <c r="B2212" s="2"/>
      <c r="C2212" s="2"/>
      <c r="D2212" s="2"/>
      <c r="E2212" s="5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4"/>
      <c r="B2213" s="2"/>
      <c r="C2213" s="2"/>
      <c r="D2213" s="2"/>
      <c r="E2213" s="5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4"/>
      <c r="B2214" s="2"/>
      <c r="C2214" s="2"/>
      <c r="D2214" s="2"/>
      <c r="E2214" s="5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4"/>
      <c r="B2215" s="2"/>
      <c r="C2215" s="2"/>
      <c r="D2215" s="2"/>
      <c r="E2215" s="5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4"/>
      <c r="B2216" s="2"/>
      <c r="C2216" s="2"/>
      <c r="D2216" s="2"/>
      <c r="E2216" s="5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4"/>
      <c r="B2217" s="2"/>
      <c r="C2217" s="2"/>
      <c r="D2217" s="2"/>
      <c r="E2217" s="5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4"/>
      <c r="B2218" s="2"/>
      <c r="C2218" s="2"/>
      <c r="D2218" s="2"/>
      <c r="E2218" s="5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4"/>
      <c r="B2219" s="2"/>
      <c r="C2219" s="2"/>
      <c r="D2219" s="2"/>
      <c r="E2219" s="5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4"/>
      <c r="B2220" s="2"/>
      <c r="C2220" s="2"/>
      <c r="D2220" s="2"/>
      <c r="E2220" s="5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4"/>
      <c r="B2221" s="2"/>
      <c r="C2221" s="2"/>
      <c r="D2221" s="2"/>
      <c r="E2221" s="5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4"/>
      <c r="B2222" s="2"/>
      <c r="C2222" s="2"/>
      <c r="D2222" s="2"/>
      <c r="E2222" s="5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4"/>
      <c r="B2223" s="2"/>
      <c r="C2223" s="2"/>
      <c r="D2223" s="2"/>
      <c r="E2223" s="5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4"/>
      <c r="B2224" s="2"/>
      <c r="C2224" s="2"/>
      <c r="D2224" s="2"/>
      <c r="E2224" s="5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4"/>
      <c r="B2225" s="2"/>
      <c r="C2225" s="2"/>
      <c r="D2225" s="2"/>
      <c r="E2225" s="5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4"/>
      <c r="B2226" s="2"/>
      <c r="C2226" s="2"/>
      <c r="D2226" s="2"/>
      <c r="E2226" s="5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4"/>
      <c r="B2227" s="2"/>
      <c r="C2227" s="2"/>
      <c r="D2227" s="2"/>
      <c r="E2227" s="5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4"/>
      <c r="B2228" s="2"/>
      <c r="C2228" s="2"/>
      <c r="D2228" s="2"/>
      <c r="E2228" s="5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4"/>
      <c r="B2229" s="2"/>
      <c r="C2229" s="2"/>
      <c r="D2229" s="2"/>
      <c r="E2229" s="5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4"/>
      <c r="B2230" s="2"/>
      <c r="C2230" s="2"/>
      <c r="D2230" s="2"/>
      <c r="E2230" s="5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4"/>
      <c r="B2231" s="2"/>
      <c r="C2231" s="2"/>
      <c r="D2231" s="2"/>
      <c r="E2231" s="5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4"/>
      <c r="B2232" s="2"/>
      <c r="C2232" s="2"/>
      <c r="D2232" s="2"/>
      <c r="E2232" s="5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4"/>
      <c r="B2233" s="2"/>
      <c r="C2233" s="2"/>
      <c r="D2233" s="2"/>
      <c r="E2233" s="5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4"/>
      <c r="B2234" s="2"/>
      <c r="C2234" s="2"/>
      <c r="D2234" s="2"/>
      <c r="E2234" s="5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4"/>
      <c r="B2235" s="2"/>
      <c r="C2235" s="2"/>
      <c r="D2235" s="2"/>
      <c r="E2235" s="5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4"/>
      <c r="B2236" s="2"/>
      <c r="C2236" s="2"/>
      <c r="D2236" s="2"/>
      <c r="E2236" s="5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4"/>
      <c r="B2237" s="2"/>
      <c r="C2237" s="2"/>
      <c r="D2237" s="2"/>
      <c r="E2237" s="5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4"/>
      <c r="B2238" s="2"/>
      <c r="C2238" s="2"/>
      <c r="D2238" s="2"/>
      <c r="E2238" s="5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4"/>
      <c r="B2239" s="2"/>
      <c r="C2239" s="2"/>
      <c r="D2239" s="2"/>
      <c r="E2239" s="5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4"/>
      <c r="B2240" s="2"/>
      <c r="C2240" s="2"/>
      <c r="D2240" s="2"/>
      <c r="E2240" s="5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4"/>
      <c r="B2241" s="2"/>
      <c r="C2241" s="2"/>
      <c r="D2241" s="2"/>
      <c r="E2241" s="5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4"/>
      <c r="B2242" s="2"/>
      <c r="C2242" s="2"/>
      <c r="D2242" s="2"/>
      <c r="E2242" s="5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4"/>
      <c r="B2243" s="2"/>
      <c r="C2243" s="2"/>
      <c r="D2243" s="2"/>
      <c r="E2243" s="5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4"/>
      <c r="B2244" s="2"/>
      <c r="C2244" s="2"/>
      <c r="D2244" s="2"/>
      <c r="E2244" s="5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4"/>
      <c r="B2245" s="2"/>
      <c r="C2245" s="2"/>
      <c r="D2245" s="2"/>
      <c r="E2245" s="5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4"/>
      <c r="B2246" s="2"/>
      <c r="C2246" s="2"/>
      <c r="D2246" s="2"/>
      <c r="E2246" s="5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4"/>
      <c r="B2247" s="2"/>
      <c r="C2247" s="2"/>
      <c r="D2247" s="2"/>
      <c r="E2247" s="5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4"/>
      <c r="B2248" s="2"/>
      <c r="C2248" s="2"/>
      <c r="D2248" s="2"/>
      <c r="E2248" s="5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4"/>
      <c r="B2249" s="2"/>
      <c r="C2249" s="2"/>
      <c r="D2249" s="2"/>
      <c r="E2249" s="5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4"/>
      <c r="B2250" s="2"/>
      <c r="C2250" s="2"/>
      <c r="D2250" s="2"/>
      <c r="E2250" s="5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4"/>
      <c r="B2251" s="2"/>
      <c r="C2251" s="2"/>
      <c r="D2251" s="2"/>
      <c r="E2251" s="5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4"/>
      <c r="B2252" s="2"/>
      <c r="C2252" s="2"/>
      <c r="D2252" s="2"/>
      <c r="E2252" s="5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4"/>
      <c r="B2253" s="2"/>
      <c r="C2253" s="2"/>
      <c r="D2253" s="2"/>
      <c r="E2253" s="5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4"/>
      <c r="B2254" s="2"/>
      <c r="C2254" s="2"/>
      <c r="D2254" s="2"/>
      <c r="E2254" s="5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4"/>
      <c r="B2255" s="2"/>
      <c r="C2255" s="2"/>
      <c r="D2255" s="2"/>
      <c r="E2255" s="5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4"/>
      <c r="B2256" s="2"/>
      <c r="C2256" s="2"/>
      <c r="D2256" s="2"/>
      <c r="E2256" s="5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4"/>
      <c r="B2257" s="2"/>
      <c r="C2257" s="2"/>
      <c r="D2257" s="2"/>
      <c r="E2257" s="5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4"/>
      <c r="B2258" s="2"/>
      <c r="C2258" s="2"/>
      <c r="D2258" s="2"/>
      <c r="E2258" s="5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4"/>
      <c r="B2259" s="2"/>
      <c r="C2259" s="2"/>
      <c r="D2259" s="2"/>
      <c r="E2259" s="5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4"/>
      <c r="B2260" s="2"/>
      <c r="C2260" s="2"/>
      <c r="D2260" s="2"/>
      <c r="E2260" s="5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4"/>
      <c r="B2261" s="2"/>
      <c r="C2261" s="2"/>
      <c r="D2261" s="2"/>
      <c r="E2261" s="5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4"/>
      <c r="B2262" s="2"/>
      <c r="C2262" s="2"/>
      <c r="D2262" s="2"/>
      <c r="E2262" s="5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4"/>
      <c r="B2263" s="2"/>
      <c r="C2263" s="2"/>
      <c r="D2263" s="2"/>
      <c r="E2263" s="5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4"/>
      <c r="B2264" s="2"/>
      <c r="C2264" s="2"/>
      <c r="D2264" s="2"/>
      <c r="E2264" s="5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4"/>
      <c r="B2265" s="2"/>
      <c r="C2265" s="2"/>
      <c r="D2265" s="2"/>
      <c r="E2265" s="5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4"/>
      <c r="B2266" s="2"/>
      <c r="C2266" s="2"/>
      <c r="D2266" s="2"/>
      <c r="E2266" s="5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4"/>
      <c r="B2267" s="2"/>
      <c r="C2267" s="2"/>
      <c r="D2267" s="2"/>
      <c r="E2267" s="5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4"/>
      <c r="B2268" s="2"/>
      <c r="C2268" s="2"/>
      <c r="D2268" s="2"/>
      <c r="E2268" s="5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4"/>
      <c r="B2269" s="2"/>
      <c r="C2269" s="2"/>
      <c r="D2269" s="2"/>
      <c r="E2269" s="5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4"/>
      <c r="B2270" s="2"/>
      <c r="C2270" s="2"/>
      <c r="D2270" s="2"/>
      <c r="E2270" s="5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4"/>
      <c r="B2271" s="2"/>
      <c r="C2271" s="2"/>
      <c r="D2271" s="2"/>
      <c r="E2271" s="5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4"/>
      <c r="B2272" s="2"/>
      <c r="C2272" s="2"/>
      <c r="D2272" s="2"/>
      <c r="E2272" s="5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4"/>
      <c r="B2273" s="2"/>
      <c r="C2273" s="2"/>
      <c r="D2273" s="2"/>
      <c r="E2273" s="5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4"/>
      <c r="B2274" s="2"/>
      <c r="C2274" s="2"/>
      <c r="D2274" s="2"/>
      <c r="E2274" s="5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4"/>
      <c r="B2275" s="2"/>
      <c r="C2275" s="2"/>
      <c r="D2275" s="2"/>
      <c r="E2275" s="5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4"/>
      <c r="B2276" s="2"/>
      <c r="C2276" s="2"/>
      <c r="D2276" s="2"/>
      <c r="E2276" s="5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4"/>
      <c r="B2277" s="2"/>
      <c r="C2277" s="2"/>
      <c r="D2277" s="2"/>
      <c r="E2277" s="5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4"/>
      <c r="B2278" s="2"/>
      <c r="C2278" s="2"/>
      <c r="D2278" s="2"/>
      <c r="E2278" s="5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4"/>
      <c r="B2279" s="2"/>
      <c r="C2279" s="2"/>
      <c r="D2279" s="2"/>
      <c r="E2279" s="5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4"/>
      <c r="B2280" s="2"/>
      <c r="C2280" s="2"/>
      <c r="D2280" s="2"/>
      <c r="E2280" s="5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4"/>
      <c r="B2281" s="2"/>
      <c r="C2281" s="2"/>
      <c r="D2281" s="2"/>
      <c r="E2281" s="5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4"/>
      <c r="B2282" s="2"/>
      <c r="C2282" s="2"/>
      <c r="D2282" s="2"/>
      <c r="E2282" s="5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4"/>
      <c r="B2283" s="2"/>
      <c r="C2283" s="2"/>
      <c r="D2283" s="2"/>
      <c r="E2283" s="5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4"/>
      <c r="B2284" s="2"/>
      <c r="C2284" s="2"/>
      <c r="D2284" s="2"/>
      <c r="E2284" s="5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4"/>
      <c r="B2285" s="2"/>
      <c r="C2285" s="2"/>
      <c r="D2285" s="2"/>
      <c r="E2285" s="5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4"/>
      <c r="B2286" s="2"/>
      <c r="C2286" s="2"/>
      <c r="D2286" s="2"/>
      <c r="E2286" s="5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4"/>
      <c r="B2287" s="2"/>
      <c r="C2287" s="2"/>
      <c r="D2287" s="2"/>
      <c r="E2287" s="5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4"/>
      <c r="B2288" s="2"/>
      <c r="C2288" s="2"/>
      <c r="D2288" s="2"/>
      <c r="E2288" s="5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4"/>
      <c r="B2289" s="2"/>
      <c r="C2289" s="2"/>
      <c r="D2289" s="2"/>
      <c r="E2289" s="5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4"/>
      <c r="B2290" s="2"/>
      <c r="C2290" s="2"/>
      <c r="D2290" s="2"/>
      <c r="E2290" s="5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4"/>
      <c r="B2291" s="2"/>
      <c r="C2291" s="2"/>
      <c r="D2291" s="2"/>
      <c r="E2291" s="5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4"/>
      <c r="B2292" s="2"/>
      <c r="C2292" s="2"/>
      <c r="D2292" s="2"/>
      <c r="E2292" s="5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4"/>
      <c r="B2293" s="2"/>
      <c r="C2293" s="2"/>
      <c r="D2293" s="2"/>
      <c r="E2293" s="5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4"/>
      <c r="B2294" s="2"/>
      <c r="C2294" s="2"/>
      <c r="D2294" s="2"/>
      <c r="E2294" s="5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4"/>
      <c r="B2295" s="2"/>
      <c r="C2295" s="2"/>
      <c r="D2295" s="2"/>
      <c r="E2295" s="5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4"/>
      <c r="B2296" s="2"/>
      <c r="C2296" s="2"/>
      <c r="D2296" s="2"/>
      <c r="E2296" s="5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4"/>
      <c r="B2297" s="2"/>
      <c r="C2297" s="2"/>
      <c r="D2297" s="2"/>
      <c r="E2297" s="5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4"/>
      <c r="B2298" s="2"/>
      <c r="C2298" s="2"/>
      <c r="D2298" s="2"/>
      <c r="E2298" s="5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4"/>
      <c r="B2299" s="2"/>
      <c r="C2299" s="2"/>
      <c r="D2299" s="2"/>
      <c r="E2299" s="5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4"/>
      <c r="B2300" s="2"/>
      <c r="C2300" s="2"/>
      <c r="D2300" s="2"/>
      <c r="E2300" s="5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4"/>
      <c r="B2301" s="2"/>
      <c r="C2301" s="2"/>
      <c r="D2301" s="2"/>
      <c r="E2301" s="5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4"/>
      <c r="B2302" s="2"/>
      <c r="C2302" s="2"/>
      <c r="D2302" s="2"/>
      <c r="E2302" s="5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4"/>
      <c r="B2303" s="2"/>
      <c r="C2303" s="2"/>
      <c r="D2303" s="2"/>
      <c r="E2303" s="5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4"/>
      <c r="B2304" s="2"/>
      <c r="C2304" s="2"/>
      <c r="D2304" s="2"/>
      <c r="E2304" s="5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4"/>
      <c r="B2305" s="2"/>
      <c r="C2305" s="2"/>
      <c r="D2305" s="2"/>
      <c r="E2305" s="5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4"/>
      <c r="B2306" s="2"/>
      <c r="C2306" s="2"/>
      <c r="D2306" s="2"/>
      <c r="E2306" s="5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4"/>
      <c r="B2307" s="2"/>
      <c r="C2307" s="2"/>
      <c r="D2307" s="2"/>
      <c r="E2307" s="5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4"/>
      <c r="B2308" s="2"/>
      <c r="C2308" s="2"/>
      <c r="D2308" s="2"/>
      <c r="E2308" s="5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4"/>
      <c r="B2309" s="2"/>
      <c r="C2309" s="2"/>
      <c r="D2309" s="2"/>
      <c r="E2309" s="5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4"/>
      <c r="B2310" s="2"/>
      <c r="C2310" s="2"/>
      <c r="D2310" s="2"/>
      <c r="E2310" s="5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4"/>
      <c r="B2311" s="2"/>
      <c r="C2311" s="2"/>
      <c r="D2311" s="2"/>
      <c r="E2311" s="5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4"/>
      <c r="B2312" s="2"/>
      <c r="C2312" s="2"/>
      <c r="D2312" s="2"/>
      <c r="E2312" s="5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4"/>
      <c r="B2313" s="2"/>
      <c r="C2313" s="2"/>
      <c r="D2313" s="2"/>
      <c r="E2313" s="5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4"/>
      <c r="B2314" s="2"/>
      <c r="C2314" s="2"/>
      <c r="D2314" s="2"/>
      <c r="E2314" s="5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4"/>
      <c r="B2315" s="2"/>
      <c r="C2315" s="2"/>
      <c r="D2315" s="2"/>
      <c r="E2315" s="5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4"/>
      <c r="B2316" s="2"/>
      <c r="C2316" s="2"/>
      <c r="D2316" s="2"/>
      <c r="E2316" s="5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4"/>
      <c r="B2317" s="2"/>
      <c r="C2317" s="2"/>
      <c r="D2317" s="2"/>
      <c r="E2317" s="5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4"/>
      <c r="B2318" s="2"/>
      <c r="C2318" s="2"/>
      <c r="D2318" s="2"/>
      <c r="E2318" s="5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4"/>
      <c r="B2319" s="2"/>
      <c r="C2319" s="2"/>
      <c r="D2319" s="2"/>
      <c r="E2319" s="5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4"/>
      <c r="B2320" s="2"/>
      <c r="C2320" s="2"/>
      <c r="D2320" s="2"/>
      <c r="E2320" s="5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4"/>
      <c r="B2321" s="2"/>
      <c r="C2321" s="2"/>
      <c r="D2321" s="2"/>
      <c r="E2321" s="5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4"/>
      <c r="B2322" s="2"/>
      <c r="C2322" s="2"/>
      <c r="D2322" s="2"/>
      <c r="E2322" s="5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4"/>
      <c r="B2323" s="2"/>
      <c r="C2323" s="2"/>
      <c r="D2323" s="2"/>
      <c r="E2323" s="5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4"/>
      <c r="B2324" s="2"/>
      <c r="C2324" s="2"/>
      <c r="D2324" s="2"/>
      <c r="E2324" s="5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4"/>
      <c r="B2325" s="2"/>
      <c r="C2325" s="2"/>
      <c r="D2325" s="2"/>
      <c r="E2325" s="5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4"/>
      <c r="B2326" s="2"/>
      <c r="C2326" s="2"/>
      <c r="D2326" s="2"/>
      <c r="E2326" s="5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4"/>
      <c r="B2327" s="2"/>
      <c r="C2327" s="2"/>
      <c r="D2327" s="2"/>
      <c r="E2327" s="5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4"/>
      <c r="B2328" s="2"/>
      <c r="C2328" s="2"/>
      <c r="D2328" s="2"/>
      <c r="E2328" s="5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4"/>
      <c r="B2329" s="2"/>
      <c r="C2329" s="2"/>
      <c r="D2329" s="2"/>
      <c r="E2329" s="5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4"/>
      <c r="B2330" s="2"/>
      <c r="C2330" s="2"/>
      <c r="D2330" s="2"/>
      <c r="E2330" s="5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4"/>
      <c r="B2331" s="2"/>
      <c r="C2331" s="2"/>
      <c r="D2331" s="2"/>
      <c r="E2331" s="5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4"/>
      <c r="B2332" s="2"/>
      <c r="C2332" s="2"/>
      <c r="D2332" s="2"/>
      <c r="E2332" s="5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4"/>
      <c r="B2333" s="2"/>
      <c r="C2333" s="2"/>
      <c r="D2333" s="2"/>
      <c r="E2333" s="5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4"/>
      <c r="B2334" s="2"/>
      <c r="C2334" s="2"/>
      <c r="D2334" s="2"/>
      <c r="E2334" s="5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4"/>
      <c r="B2335" s="2"/>
      <c r="C2335" s="2"/>
      <c r="D2335" s="2"/>
      <c r="E2335" s="5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4"/>
      <c r="B2336" s="2"/>
      <c r="C2336" s="2"/>
      <c r="D2336" s="2"/>
      <c r="E2336" s="5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4"/>
      <c r="B2337" s="2"/>
      <c r="C2337" s="2"/>
      <c r="D2337" s="2"/>
      <c r="E2337" s="5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4"/>
      <c r="B2338" s="2"/>
      <c r="C2338" s="2"/>
      <c r="D2338" s="2"/>
      <c r="E2338" s="5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4"/>
      <c r="B2339" s="2"/>
      <c r="C2339" s="2"/>
      <c r="D2339" s="2"/>
      <c r="E2339" s="5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4"/>
      <c r="B2340" s="2"/>
      <c r="C2340" s="2"/>
      <c r="D2340" s="2"/>
      <c r="E2340" s="5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4"/>
      <c r="B2341" s="2"/>
      <c r="C2341" s="2"/>
      <c r="D2341" s="2"/>
      <c r="E2341" s="5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4"/>
      <c r="B2342" s="2"/>
      <c r="C2342" s="2"/>
      <c r="D2342" s="2"/>
      <c r="E2342" s="5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4"/>
      <c r="B2343" s="2"/>
      <c r="C2343" s="2"/>
      <c r="D2343" s="2"/>
      <c r="E2343" s="5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4"/>
      <c r="B2344" s="2"/>
      <c r="C2344" s="2"/>
      <c r="D2344" s="2"/>
      <c r="E2344" s="5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4"/>
      <c r="B2345" s="2"/>
      <c r="C2345" s="2"/>
      <c r="D2345" s="2"/>
      <c r="E2345" s="5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4"/>
      <c r="B2346" s="2"/>
      <c r="C2346" s="2"/>
      <c r="D2346" s="2"/>
      <c r="E2346" s="5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4"/>
      <c r="B2347" s="2"/>
      <c r="C2347" s="2"/>
      <c r="D2347" s="2"/>
      <c r="E2347" s="5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4"/>
      <c r="B2348" s="2"/>
      <c r="C2348" s="2"/>
      <c r="D2348" s="2"/>
      <c r="E2348" s="5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4"/>
      <c r="B2349" s="2"/>
      <c r="C2349" s="2"/>
      <c r="D2349" s="2"/>
      <c r="E2349" s="5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4"/>
      <c r="B2350" s="2"/>
      <c r="C2350" s="2"/>
      <c r="D2350" s="2"/>
      <c r="E2350" s="5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4"/>
      <c r="B2351" s="2"/>
      <c r="C2351" s="2"/>
      <c r="D2351" s="2"/>
      <c r="E2351" s="5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4"/>
      <c r="B2352" s="2"/>
      <c r="C2352" s="2"/>
      <c r="D2352" s="2"/>
      <c r="E2352" s="5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4"/>
      <c r="B2353" s="2"/>
      <c r="C2353" s="2"/>
      <c r="D2353" s="2"/>
      <c r="E2353" s="5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4"/>
      <c r="B2354" s="2"/>
      <c r="C2354" s="2"/>
      <c r="D2354" s="2"/>
      <c r="E2354" s="5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4"/>
      <c r="B2355" s="2"/>
      <c r="C2355" s="2"/>
      <c r="D2355" s="2"/>
      <c r="E2355" s="5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4"/>
      <c r="B2356" s="2"/>
      <c r="C2356" s="2"/>
      <c r="D2356" s="2"/>
      <c r="E2356" s="5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4"/>
      <c r="B2357" s="2"/>
      <c r="C2357" s="2"/>
      <c r="D2357" s="2"/>
      <c r="E2357" s="5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4"/>
      <c r="B2358" s="2"/>
      <c r="C2358" s="2"/>
      <c r="D2358" s="2"/>
      <c r="E2358" s="5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4"/>
      <c r="B2359" s="2"/>
      <c r="C2359" s="2"/>
      <c r="D2359" s="2"/>
      <c r="E2359" s="5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4"/>
      <c r="B2360" s="2"/>
      <c r="C2360" s="2"/>
      <c r="D2360" s="2"/>
      <c r="E2360" s="5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4"/>
      <c r="B2361" s="2"/>
      <c r="C2361" s="2"/>
      <c r="D2361" s="2"/>
      <c r="E2361" s="5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4"/>
      <c r="B2362" s="2"/>
      <c r="C2362" s="2"/>
      <c r="D2362" s="2"/>
      <c r="E2362" s="5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4"/>
      <c r="B2363" s="2"/>
      <c r="C2363" s="2"/>
      <c r="D2363" s="2"/>
      <c r="E2363" s="5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4"/>
      <c r="B2364" s="2"/>
      <c r="C2364" s="2"/>
      <c r="D2364" s="2"/>
      <c r="E2364" s="5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4"/>
      <c r="B2365" s="2"/>
      <c r="C2365" s="2"/>
      <c r="D2365" s="2"/>
      <c r="E2365" s="5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4"/>
      <c r="B2366" s="2"/>
      <c r="C2366" s="2"/>
      <c r="D2366" s="2"/>
      <c r="E2366" s="5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4"/>
      <c r="B2367" s="2"/>
      <c r="C2367" s="2"/>
      <c r="D2367" s="2"/>
      <c r="E2367" s="5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4"/>
      <c r="B2368" s="2"/>
      <c r="C2368" s="2"/>
      <c r="D2368" s="2"/>
      <c r="E2368" s="5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4"/>
      <c r="B2369" s="2"/>
      <c r="C2369" s="2"/>
      <c r="D2369" s="2"/>
      <c r="E2369" s="5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4"/>
      <c r="B2370" s="2"/>
      <c r="C2370" s="2"/>
      <c r="D2370" s="2"/>
      <c r="E2370" s="5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4"/>
      <c r="B2371" s="2"/>
      <c r="C2371" s="2"/>
      <c r="D2371" s="2"/>
      <c r="E2371" s="5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4"/>
      <c r="B2372" s="2"/>
      <c r="C2372" s="2"/>
      <c r="D2372" s="2"/>
      <c r="E2372" s="5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4"/>
      <c r="B2373" s="2"/>
      <c r="C2373" s="2"/>
      <c r="D2373" s="2"/>
      <c r="E2373" s="5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4"/>
      <c r="B2374" s="2"/>
      <c r="C2374" s="2"/>
      <c r="D2374" s="2"/>
      <c r="E2374" s="5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4"/>
      <c r="B2375" s="2"/>
      <c r="C2375" s="2"/>
      <c r="D2375" s="2"/>
      <c r="E2375" s="5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4"/>
      <c r="B2376" s="2"/>
      <c r="C2376" s="2"/>
      <c r="D2376" s="2"/>
      <c r="E2376" s="5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4"/>
      <c r="B2377" s="2"/>
      <c r="C2377" s="2"/>
      <c r="D2377" s="2"/>
      <c r="E2377" s="5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4"/>
      <c r="B2378" s="2"/>
      <c r="C2378" s="2"/>
      <c r="D2378" s="2"/>
      <c r="E2378" s="5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4"/>
      <c r="B2379" s="2"/>
      <c r="C2379" s="2"/>
      <c r="D2379" s="2"/>
      <c r="E2379" s="5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4"/>
      <c r="B2380" s="2"/>
      <c r="C2380" s="2"/>
      <c r="D2380" s="2"/>
      <c r="E2380" s="5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4"/>
      <c r="B2381" s="2"/>
      <c r="C2381" s="2"/>
      <c r="D2381" s="2"/>
      <c r="E2381" s="5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4"/>
      <c r="B2382" s="2"/>
      <c r="C2382" s="2"/>
      <c r="D2382" s="2"/>
      <c r="E2382" s="5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4"/>
      <c r="B2383" s="2"/>
      <c r="C2383" s="2"/>
      <c r="D2383" s="2"/>
      <c r="E2383" s="5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4"/>
      <c r="B2384" s="2"/>
      <c r="C2384" s="2"/>
      <c r="D2384" s="2"/>
      <c r="E2384" s="5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4"/>
      <c r="B2385" s="2"/>
      <c r="C2385" s="2"/>
      <c r="D2385" s="2"/>
      <c r="E2385" s="5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4"/>
      <c r="B2386" s="2"/>
      <c r="C2386" s="2"/>
      <c r="D2386" s="2"/>
      <c r="E2386" s="5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4"/>
      <c r="B2387" s="2"/>
      <c r="C2387" s="2"/>
      <c r="D2387" s="2"/>
      <c r="E2387" s="5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4"/>
      <c r="B2388" s="2"/>
      <c r="C2388" s="2"/>
      <c r="D2388" s="2"/>
      <c r="E2388" s="5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4"/>
      <c r="B2389" s="2"/>
      <c r="C2389" s="2"/>
      <c r="D2389" s="2"/>
      <c r="E2389" s="5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4"/>
      <c r="B2390" s="2"/>
      <c r="C2390" s="2"/>
      <c r="D2390" s="2"/>
      <c r="E2390" s="5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4"/>
      <c r="B2391" s="2"/>
      <c r="C2391" s="2"/>
      <c r="D2391" s="2"/>
      <c r="E2391" s="5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4"/>
      <c r="B2392" s="2"/>
      <c r="C2392" s="2"/>
      <c r="D2392" s="2"/>
      <c r="E2392" s="5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4"/>
      <c r="B2393" s="2"/>
      <c r="C2393" s="2"/>
      <c r="D2393" s="2"/>
      <c r="E2393" s="5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4"/>
      <c r="B2394" s="2"/>
      <c r="C2394" s="2"/>
      <c r="D2394" s="2"/>
      <c r="E2394" s="5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4"/>
      <c r="B2395" s="2"/>
      <c r="C2395" s="2"/>
      <c r="D2395" s="2"/>
      <c r="E2395" s="5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4"/>
      <c r="B2396" s="2"/>
      <c r="C2396" s="2"/>
      <c r="D2396" s="2"/>
      <c r="E2396" s="5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4"/>
      <c r="B2397" s="2"/>
      <c r="C2397" s="2"/>
      <c r="D2397" s="2"/>
      <c r="E2397" s="5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4"/>
      <c r="B2398" s="2"/>
      <c r="C2398" s="2"/>
      <c r="D2398" s="2"/>
      <c r="E2398" s="5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4"/>
      <c r="B2399" s="2"/>
      <c r="C2399" s="2"/>
      <c r="D2399" s="2"/>
      <c r="E2399" s="5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4"/>
      <c r="B2400" s="2"/>
      <c r="C2400" s="2"/>
      <c r="D2400" s="2"/>
      <c r="E2400" s="5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4"/>
      <c r="B2401" s="2"/>
      <c r="C2401" s="2"/>
      <c r="D2401" s="2"/>
      <c r="E2401" s="5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4"/>
      <c r="B2402" s="2"/>
      <c r="C2402" s="2"/>
      <c r="D2402" s="2"/>
      <c r="E2402" s="5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4"/>
      <c r="B2403" s="2"/>
      <c r="C2403" s="2"/>
      <c r="D2403" s="2"/>
      <c r="E2403" s="5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4"/>
      <c r="B2404" s="2"/>
      <c r="C2404" s="2"/>
      <c r="D2404" s="2"/>
      <c r="E2404" s="5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4"/>
      <c r="B2405" s="2"/>
      <c r="C2405" s="2"/>
      <c r="D2405" s="2"/>
      <c r="E2405" s="5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4"/>
      <c r="B2406" s="2"/>
      <c r="C2406" s="2"/>
      <c r="D2406" s="2"/>
      <c r="E2406" s="5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4"/>
      <c r="B2407" s="2"/>
      <c r="C2407" s="2"/>
      <c r="D2407" s="2"/>
      <c r="E2407" s="5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4"/>
      <c r="B2408" s="2"/>
      <c r="C2408" s="2"/>
      <c r="D2408" s="2"/>
      <c r="E2408" s="5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4"/>
      <c r="B2409" s="2"/>
      <c r="C2409" s="2"/>
      <c r="D2409" s="2"/>
      <c r="E2409" s="5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4"/>
      <c r="B2410" s="2"/>
      <c r="C2410" s="2"/>
      <c r="D2410" s="2"/>
      <c r="E2410" s="5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4"/>
      <c r="B2411" s="2"/>
      <c r="C2411" s="2"/>
      <c r="D2411" s="2"/>
      <c r="E2411" s="5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4"/>
      <c r="B2412" s="2"/>
      <c r="C2412" s="2"/>
      <c r="D2412" s="2"/>
      <c r="E2412" s="5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4"/>
      <c r="B2413" s="2"/>
      <c r="C2413" s="2"/>
      <c r="D2413" s="2"/>
      <c r="E2413" s="5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4"/>
      <c r="B2414" s="2"/>
      <c r="C2414" s="2"/>
      <c r="D2414" s="2"/>
      <c r="E2414" s="5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4"/>
      <c r="B2415" s="2"/>
      <c r="C2415" s="2"/>
      <c r="D2415" s="2"/>
      <c r="E2415" s="5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4"/>
      <c r="B2416" s="2"/>
      <c r="C2416" s="2"/>
      <c r="D2416" s="2"/>
      <c r="E2416" s="5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4"/>
      <c r="B2417" s="2"/>
      <c r="C2417" s="2"/>
      <c r="D2417" s="2"/>
      <c r="E2417" s="5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4"/>
      <c r="B2418" s="2"/>
      <c r="C2418" s="2"/>
      <c r="D2418" s="2"/>
      <c r="E2418" s="5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4"/>
      <c r="B2419" s="2"/>
      <c r="C2419" s="2"/>
      <c r="D2419" s="2"/>
      <c r="E2419" s="5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4"/>
      <c r="B2420" s="2"/>
      <c r="C2420" s="2"/>
      <c r="D2420" s="2"/>
      <c r="E2420" s="5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4"/>
      <c r="B2421" s="2"/>
      <c r="C2421" s="2"/>
      <c r="D2421" s="2"/>
      <c r="E2421" s="5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4"/>
      <c r="B2422" s="2"/>
      <c r="C2422" s="2"/>
      <c r="D2422" s="2"/>
      <c r="E2422" s="5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4"/>
      <c r="B2423" s="2"/>
      <c r="C2423" s="2"/>
      <c r="D2423" s="2"/>
      <c r="E2423" s="5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4"/>
      <c r="B2424" s="2"/>
      <c r="C2424" s="2"/>
      <c r="D2424" s="2"/>
      <c r="E2424" s="5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4"/>
      <c r="B2425" s="2"/>
      <c r="C2425" s="2"/>
      <c r="D2425" s="2"/>
      <c r="E2425" s="5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4"/>
      <c r="B2426" s="2"/>
      <c r="C2426" s="2"/>
      <c r="D2426" s="2"/>
      <c r="E2426" s="5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4"/>
      <c r="B2427" s="2"/>
      <c r="C2427" s="2"/>
      <c r="D2427" s="2"/>
      <c r="E2427" s="5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4"/>
      <c r="B2428" s="2"/>
      <c r="C2428" s="2"/>
      <c r="D2428" s="2"/>
      <c r="E2428" s="5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4"/>
      <c r="B2429" s="2"/>
      <c r="C2429" s="2"/>
      <c r="D2429" s="2"/>
      <c r="E2429" s="5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4"/>
      <c r="B2430" s="2"/>
      <c r="C2430" s="2"/>
      <c r="D2430" s="2"/>
      <c r="E2430" s="5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4"/>
      <c r="B2431" s="2"/>
      <c r="C2431" s="2"/>
      <c r="D2431" s="2"/>
      <c r="E2431" s="5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4"/>
      <c r="B2432" s="2"/>
      <c r="C2432" s="2"/>
      <c r="D2432" s="2"/>
      <c r="E2432" s="5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4"/>
      <c r="B2433" s="2"/>
      <c r="C2433" s="2"/>
      <c r="D2433" s="2"/>
      <c r="E2433" s="5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4"/>
      <c r="B2434" s="2"/>
      <c r="C2434" s="2"/>
      <c r="D2434" s="2"/>
      <c r="E2434" s="5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4"/>
      <c r="B2435" s="2"/>
      <c r="C2435" s="2"/>
      <c r="D2435" s="2"/>
      <c r="E2435" s="5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4"/>
      <c r="B2436" s="2"/>
      <c r="C2436" s="2"/>
      <c r="D2436" s="2"/>
      <c r="E2436" s="5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4"/>
      <c r="B2437" s="2"/>
      <c r="C2437" s="2"/>
      <c r="D2437" s="2"/>
      <c r="E2437" s="5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4"/>
      <c r="B2438" s="2"/>
      <c r="C2438" s="2"/>
      <c r="D2438" s="2"/>
      <c r="E2438" s="5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4"/>
      <c r="B2439" s="2"/>
      <c r="C2439" s="2"/>
      <c r="D2439" s="2"/>
      <c r="E2439" s="5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4"/>
      <c r="B2440" s="2"/>
      <c r="C2440" s="2"/>
      <c r="D2440" s="2"/>
      <c r="E2440" s="5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4"/>
      <c r="B2441" s="2"/>
      <c r="C2441" s="2"/>
      <c r="D2441" s="2"/>
      <c r="E2441" s="5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4"/>
      <c r="B2442" s="2"/>
      <c r="C2442" s="2"/>
      <c r="D2442" s="2"/>
      <c r="E2442" s="5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4"/>
      <c r="B2443" s="2"/>
      <c r="C2443" s="2"/>
      <c r="D2443" s="2"/>
      <c r="E2443" s="5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4"/>
      <c r="B2444" s="2"/>
      <c r="C2444" s="2"/>
      <c r="D2444" s="2"/>
      <c r="E2444" s="5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4"/>
      <c r="B2445" s="2"/>
      <c r="C2445" s="2"/>
      <c r="D2445" s="2"/>
      <c r="E2445" s="5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4"/>
      <c r="B2446" s="2"/>
      <c r="C2446" s="2"/>
      <c r="D2446" s="2"/>
      <c r="E2446" s="5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4"/>
      <c r="B2447" s="2"/>
      <c r="C2447" s="2"/>
      <c r="D2447" s="2"/>
      <c r="E2447" s="5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4"/>
      <c r="B2448" s="2"/>
      <c r="C2448" s="2"/>
      <c r="D2448" s="2"/>
      <c r="E2448" s="5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4"/>
      <c r="B2449" s="2"/>
      <c r="C2449" s="2"/>
      <c r="D2449" s="2"/>
      <c r="E2449" s="5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4"/>
      <c r="B2450" s="2"/>
      <c r="C2450" s="2"/>
      <c r="D2450" s="2"/>
      <c r="E2450" s="5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4"/>
      <c r="B2451" s="2"/>
      <c r="C2451" s="2"/>
      <c r="D2451" s="2"/>
      <c r="E2451" s="5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4"/>
      <c r="B2452" s="2"/>
      <c r="C2452" s="2"/>
      <c r="D2452" s="2"/>
      <c r="E2452" s="5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4"/>
      <c r="B2453" s="2"/>
      <c r="C2453" s="2"/>
      <c r="D2453" s="2"/>
      <c r="E2453" s="5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4"/>
      <c r="B2454" s="2"/>
      <c r="C2454" s="2"/>
      <c r="D2454" s="2"/>
      <c r="E2454" s="5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4"/>
      <c r="B2455" s="2"/>
      <c r="C2455" s="2"/>
      <c r="D2455" s="2"/>
      <c r="E2455" s="5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4"/>
      <c r="B2456" s="2"/>
      <c r="C2456" s="2"/>
      <c r="D2456" s="2"/>
      <c r="E2456" s="5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4"/>
      <c r="B2457" s="2"/>
      <c r="C2457" s="2"/>
      <c r="D2457" s="2"/>
      <c r="E2457" s="5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4"/>
      <c r="B2458" s="2"/>
      <c r="C2458" s="2"/>
      <c r="D2458" s="2"/>
      <c r="E2458" s="5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4"/>
      <c r="B2459" s="2"/>
      <c r="C2459" s="2"/>
      <c r="D2459" s="2"/>
      <c r="E2459" s="5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4"/>
      <c r="B2460" s="2"/>
      <c r="C2460" s="2"/>
      <c r="D2460" s="2"/>
      <c r="E2460" s="5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4"/>
      <c r="B2461" s="2"/>
      <c r="C2461" s="2"/>
      <c r="D2461" s="2"/>
      <c r="E2461" s="5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4"/>
      <c r="B2462" s="2"/>
      <c r="C2462" s="2"/>
      <c r="D2462" s="2"/>
      <c r="E2462" s="5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4"/>
      <c r="B2463" s="2"/>
      <c r="C2463" s="2"/>
      <c r="D2463" s="2"/>
      <c r="E2463" s="5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4"/>
      <c r="B2464" s="2"/>
      <c r="C2464" s="2"/>
      <c r="D2464" s="2"/>
      <c r="E2464" s="5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4"/>
      <c r="B2465" s="2"/>
      <c r="C2465" s="2"/>
      <c r="D2465" s="2"/>
      <c r="E2465" s="5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4"/>
      <c r="B2466" s="2"/>
      <c r="C2466" s="2"/>
      <c r="D2466" s="2"/>
      <c r="E2466" s="5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4"/>
      <c r="B2467" s="2"/>
      <c r="C2467" s="2"/>
      <c r="D2467" s="2"/>
      <c r="E2467" s="5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4"/>
      <c r="B2468" s="2"/>
      <c r="C2468" s="2"/>
      <c r="D2468" s="2"/>
      <c r="E2468" s="5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4"/>
      <c r="B2469" s="2"/>
      <c r="C2469" s="2"/>
      <c r="D2469" s="2"/>
      <c r="E2469" s="5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4"/>
      <c r="B2470" s="2"/>
      <c r="C2470" s="2"/>
      <c r="D2470" s="2"/>
      <c r="E2470" s="5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4"/>
      <c r="B2471" s="2"/>
      <c r="C2471" s="2"/>
      <c r="D2471" s="2"/>
      <c r="E2471" s="5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4"/>
      <c r="B2472" s="2"/>
      <c r="C2472" s="2"/>
      <c r="D2472" s="2"/>
      <c r="E2472" s="5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4"/>
      <c r="B2473" s="2"/>
      <c r="C2473" s="2"/>
      <c r="D2473" s="2"/>
      <c r="E2473" s="5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4"/>
      <c r="B2474" s="2"/>
      <c r="C2474" s="2"/>
      <c r="D2474" s="2"/>
      <c r="E2474" s="5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4"/>
      <c r="B2475" s="2"/>
      <c r="C2475" s="2"/>
      <c r="D2475" s="2"/>
      <c r="E2475" s="5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4"/>
      <c r="B2476" s="2"/>
      <c r="C2476" s="2"/>
      <c r="D2476" s="2"/>
      <c r="E2476" s="5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4"/>
      <c r="B2477" s="2"/>
      <c r="C2477" s="2"/>
      <c r="D2477" s="2"/>
      <c r="E2477" s="5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4"/>
      <c r="B2478" s="2"/>
      <c r="C2478" s="2"/>
      <c r="D2478" s="2"/>
      <c r="E2478" s="5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4"/>
      <c r="B2479" s="2"/>
      <c r="C2479" s="2"/>
      <c r="D2479" s="2"/>
      <c r="E2479" s="5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>
      <c r="A2480" s="4"/>
      <c r="B2480" s="2"/>
      <c r="C2480" s="2"/>
      <c r="D2480" s="2"/>
      <c r="E2480" s="5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>
      <c r="A2481" s="4"/>
      <c r="B2481" s="2"/>
      <c r="C2481" s="2"/>
      <c r="D2481" s="2"/>
      <c r="E2481" s="5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>
      <c r="A2482" s="4"/>
      <c r="B2482" s="2"/>
      <c r="C2482" s="2"/>
      <c r="D2482" s="2"/>
      <c r="E2482" s="5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>
      <c r="A2483" s="4"/>
      <c r="B2483" s="2"/>
      <c r="C2483" s="2"/>
      <c r="D2483" s="2"/>
      <c r="E2483" s="5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>
      <c r="A2484" s="4"/>
      <c r="B2484" s="2"/>
      <c r="C2484" s="2"/>
      <c r="D2484" s="2"/>
      <c r="E2484" s="5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>
      <c r="A2485" s="4"/>
      <c r="B2485" s="2"/>
      <c r="C2485" s="2"/>
      <c r="D2485" s="2"/>
      <c r="E2485" s="5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>
      <c r="A2486" s="4"/>
      <c r="B2486" s="2"/>
      <c r="C2486" s="2"/>
      <c r="D2486" s="2"/>
      <c r="E2486" s="5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>
      <c r="A2487" s="4"/>
      <c r="B2487" s="2"/>
      <c r="C2487" s="2"/>
      <c r="D2487" s="2"/>
      <c r="E2487" s="5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>
      <c r="A2488" s="4"/>
      <c r="B2488" s="2"/>
      <c r="C2488" s="2"/>
      <c r="D2488" s="2"/>
      <c r="E2488" s="5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>
      <c r="A2489" s="4"/>
      <c r="B2489" s="2"/>
      <c r="C2489" s="2"/>
      <c r="D2489" s="2"/>
      <c r="E2489" s="5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>
      <c r="A2490" s="4"/>
      <c r="B2490" s="2"/>
      <c r="C2490" s="2"/>
      <c r="D2490" s="2"/>
      <c r="E2490" s="5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>
      <c r="A2491" s="4"/>
      <c r="B2491" s="2"/>
      <c r="C2491" s="2"/>
      <c r="D2491" s="2"/>
      <c r="E2491" s="5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>
      <c r="A2492" s="4"/>
      <c r="B2492" s="2"/>
      <c r="C2492" s="2"/>
      <c r="D2492" s="2"/>
      <c r="E2492" s="5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>
      <c r="A2493" s="4"/>
      <c r="B2493" s="2"/>
      <c r="C2493" s="2"/>
      <c r="D2493" s="2"/>
      <c r="E2493" s="5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>
      <c r="A2494" s="4"/>
      <c r="B2494" s="2"/>
      <c r="C2494" s="2"/>
      <c r="D2494" s="2"/>
      <c r="E2494" s="5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>
      <c r="A2495" s="4"/>
      <c r="B2495" s="2"/>
      <c r="C2495" s="2"/>
      <c r="D2495" s="2"/>
      <c r="E2495" s="5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>
      <c r="A2496" s="4"/>
      <c r="B2496" s="2"/>
      <c r="C2496" s="2"/>
      <c r="D2496" s="2"/>
      <c r="E2496" s="5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>
      <c r="A2497" s="4"/>
      <c r="B2497" s="2"/>
      <c r="C2497" s="2"/>
      <c r="D2497" s="2"/>
      <c r="E2497" s="5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>
      <c r="A2498" s="4"/>
      <c r="B2498" s="2"/>
      <c r="C2498" s="2"/>
      <c r="D2498" s="2"/>
      <c r="E2498" s="5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>
      <c r="A2499" s="4"/>
      <c r="B2499" s="2"/>
      <c r="C2499" s="2"/>
      <c r="D2499" s="2"/>
      <c r="E2499" s="5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>
      <c r="A2500" s="4"/>
      <c r="B2500" s="2"/>
      <c r="C2500" s="2"/>
      <c r="D2500" s="2"/>
      <c r="E2500" s="5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>
      <c r="A2501" s="4"/>
      <c r="B2501" s="2"/>
      <c r="C2501" s="2"/>
      <c r="D2501" s="2"/>
      <c r="E2501" s="5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>
      <c r="A2502" s="4"/>
      <c r="B2502" s="2"/>
      <c r="C2502" s="2"/>
      <c r="D2502" s="2"/>
      <c r="E2502" s="5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>
      <c r="A2503" s="4"/>
      <c r="B2503" s="2"/>
      <c r="C2503" s="2"/>
      <c r="D2503" s="2"/>
      <c r="E2503" s="5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>
      <c r="A2504" s="4"/>
      <c r="B2504" s="2"/>
      <c r="C2504" s="2"/>
      <c r="D2504" s="2"/>
      <c r="E2504" s="5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>
      <c r="A2505" s="4"/>
      <c r="B2505" s="2"/>
      <c r="C2505" s="2"/>
      <c r="D2505" s="2"/>
      <c r="E2505" s="5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>
      <c r="A2506" s="4"/>
      <c r="B2506" s="2"/>
      <c r="C2506" s="2"/>
      <c r="D2506" s="2"/>
      <c r="E2506" s="5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>
      <c r="A2507" s="4"/>
      <c r="B2507" s="2"/>
      <c r="C2507" s="2"/>
      <c r="D2507" s="2"/>
      <c r="E2507" s="5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>
      <c r="A2508" s="4"/>
      <c r="B2508" s="2"/>
      <c r="C2508" s="2"/>
      <c r="D2508" s="2"/>
      <c r="E2508" s="5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>
      <c r="A2509" s="4"/>
      <c r="B2509" s="2"/>
      <c r="C2509" s="2"/>
      <c r="D2509" s="2"/>
      <c r="E2509" s="5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>
      <c r="A2510" s="4"/>
      <c r="B2510" s="2"/>
      <c r="C2510" s="2"/>
      <c r="D2510" s="2"/>
      <c r="E2510" s="5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>
      <c r="A2511" s="4"/>
      <c r="B2511" s="2"/>
      <c r="C2511" s="2"/>
      <c r="D2511" s="2"/>
      <c r="E2511" s="5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>
      <c r="A2512" s="4"/>
      <c r="B2512" s="2"/>
      <c r="C2512" s="2"/>
      <c r="D2512" s="2"/>
      <c r="E2512" s="5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>
      <c r="A2513" s="4"/>
      <c r="B2513" s="2"/>
      <c r="C2513" s="2"/>
      <c r="D2513" s="2"/>
      <c r="E2513" s="5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>
      <c r="A2514" s="4"/>
      <c r="B2514" s="2"/>
      <c r="C2514" s="2"/>
      <c r="D2514" s="2"/>
      <c r="E2514" s="5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>
      <c r="A2515" s="4"/>
      <c r="B2515" s="2"/>
      <c r="C2515" s="2"/>
      <c r="D2515" s="2"/>
      <c r="E2515" s="5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>
      <c r="A2516" s="4"/>
      <c r="B2516" s="2"/>
      <c r="C2516" s="2"/>
      <c r="D2516" s="2"/>
      <c r="E2516" s="5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>
      <c r="A2517" s="4"/>
      <c r="B2517" s="2"/>
      <c r="C2517" s="2"/>
      <c r="D2517" s="2"/>
      <c r="E2517" s="5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>
      <c r="A2518" s="4"/>
      <c r="B2518" s="2"/>
      <c r="C2518" s="2"/>
      <c r="D2518" s="2"/>
      <c r="E2518" s="5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>
      <c r="A2519" s="4"/>
      <c r="B2519" s="2"/>
      <c r="C2519" s="2"/>
      <c r="D2519" s="2"/>
      <c r="E2519" s="5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>
      <c r="A2520" s="4"/>
      <c r="B2520" s="2"/>
      <c r="C2520" s="2"/>
      <c r="D2520" s="2"/>
      <c r="E2520" s="5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>
      <c r="A2521" s="4"/>
      <c r="B2521" s="2"/>
      <c r="C2521" s="2"/>
      <c r="D2521" s="2"/>
      <c r="E2521" s="5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>
      <c r="A2522" s="4"/>
      <c r="B2522" s="2"/>
      <c r="C2522" s="2"/>
      <c r="D2522" s="2"/>
      <c r="E2522" s="5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>
      <c r="A2523" s="4"/>
      <c r="B2523" s="2"/>
      <c r="C2523" s="2"/>
      <c r="D2523" s="2"/>
      <c r="E2523" s="5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>
      <c r="A2524" s="4"/>
      <c r="B2524" s="2"/>
      <c r="C2524" s="2"/>
      <c r="D2524" s="2"/>
      <c r="E2524" s="5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>
      <c r="A2525" s="4"/>
      <c r="B2525" s="2"/>
      <c r="C2525" s="2"/>
      <c r="D2525" s="2"/>
      <c r="E2525" s="5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>
      <c r="A2526" s="4"/>
      <c r="B2526" s="2"/>
      <c r="C2526" s="2"/>
      <c r="D2526" s="2"/>
      <c r="E2526" s="5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>
      <c r="A2527" s="4"/>
      <c r="B2527" s="2"/>
      <c r="C2527" s="2"/>
      <c r="D2527" s="2"/>
      <c r="E2527" s="5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>
      <c r="A2528" s="4"/>
      <c r="B2528" s="2"/>
      <c r="C2528" s="2"/>
      <c r="D2528" s="2"/>
      <c r="E2528" s="5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>
      <c r="A2529" s="4"/>
      <c r="B2529" s="2"/>
      <c r="C2529" s="2"/>
      <c r="D2529" s="2"/>
      <c r="E2529" s="5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>
      <c r="A2530" s="4"/>
      <c r="B2530" s="2"/>
      <c r="C2530" s="2"/>
      <c r="D2530" s="2"/>
      <c r="E2530" s="5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>
      <c r="A2531" s="4"/>
      <c r="B2531" s="2"/>
      <c r="C2531" s="2"/>
      <c r="D2531" s="2"/>
      <c r="E2531" s="5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>
      <c r="A2532" s="4"/>
      <c r="B2532" s="2"/>
      <c r="C2532" s="2"/>
      <c r="D2532" s="2"/>
      <c r="E2532" s="5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>
      <c r="A2533" s="4"/>
      <c r="B2533" s="2"/>
      <c r="C2533" s="2"/>
      <c r="D2533" s="2"/>
      <c r="E2533" s="5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>
      <c r="A2534" s="4"/>
      <c r="B2534" s="2"/>
      <c r="C2534" s="2"/>
      <c r="D2534" s="2"/>
      <c r="E2534" s="5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>
      <c r="A2535" s="4"/>
      <c r="B2535" s="2"/>
      <c r="C2535" s="2"/>
      <c r="D2535" s="2"/>
      <c r="E2535" s="5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>
      <c r="A2536" s="4"/>
      <c r="B2536" s="2"/>
      <c r="C2536" s="2"/>
      <c r="D2536" s="2"/>
      <c r="E2536" s="5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>
      <c r="A2537" s="4"/>
      <c r="B2537" s="2"/>
      <c r="C2537" s="2"/>
      <c r="D2537" s="2"/>
      <c r="E2537" s="5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>
      <c r="A2538" s="4"/>
      <c r="B2538" s="2"/>
      <c r="C2538" s="2"/>
      <c r="D2538" s="2"/>
      <c r="E2538" s="5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>
      <c r="A2539" s="4"/>
      <c r="B2539" s="2"/>
      <c r="C2539" s="2"/>
      <c r="D2539" s="2"/>
      <c r="E2539" s="5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>
      <c r="A2540" s="4"/>
      <c r="B2540" s="2"/>
      <c r="C2540" s="2"/>
      <c r="D2540" s="2"/>
      <c r="E2540" s="5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>
      <c r="A2541" s="4"/>
      <c r="B2541" s="2"/>
      <c r="C2541" s="2"/>
      <c r="D2541" s="2"/>
      <c r="E2541" s="5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>
      <c r="A2542" s="4"/>
      <c r="B2542" s="2"/>
      <c r="C2542" s="2"/>
      <c r="D2542" s="2"/>
      <c r="E2542" s="5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>
      <c r="A2543" s="4"/>
      <c r="B2543" s="2"/>
      <c r="C2543" s="2"/>
      <c r="D2543" s="2"/>
      <c r="E2543" s="5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>
      <c r="A2544" s="4"/>
      <c r="B2544" s="2"/>
      <c r="C2544" s="2"/>
      <c r="D2544" s="2"/>
      <c r="E2544" s="5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>
      <c r="A2545" s="4"/>
      <c r="B2545" s="2"/>
      <c r="C2545" s="2"/>
      <c r="D2545" s="2"/>
      <c r="E2545" s="5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>
      <c r="A2546" s="4"/>
      <c r="B2546" s="2"/>
      <c r="C2546" s="2"/>
      <c r="D2546" s="2"/>
      <c r="E2546" s="5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>
      <c r="A2547" s="4"/>
      <c r="B2547" s="2"/>
      <c r="C2547" s="2"/>
      <c r="D2547" s="2"/>
      <c r="E2547" s="5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>
      <c r="A2548" s="4"/>
      <c r="B2548" s="2"/>
      <c r="C2548" s="2"/>
      <c r="D2548" s="2"/>
      <c r="E2548" s="5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>
      <c r="A2549" s="4"/>
      <c r="B2549" s="2"/>
      <c r="C2549" s="2"/>
      <c r="D2549" s="2"/>
      <c r="E2549" s="5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>
      <c r="A2550" s="4"/>
      <c r="B2550" s="2"/>
      <c r="C2550" s="2"/>
      <c r="D2550" s="2"/>
      <c r="E2550" s="5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>
      <c r="A2551" s="4"/>
      <c r="B2551" s="2"/>
      <c r="C2551" s="2"/>
      <c r="D2551" s="2"/>
      <c r="E2551" s="5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>
      <c r="A2552" s="4"/>
      <c r="B2552" s="2"/>
      <c r="C2552" s="2"/>
      <c r="D2552" s="2"/>
      <c r="E2552" s="5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>
      <c r="A2553" s="4"/>
      <c r="B2553" s="2"/>
      <c r="C2553" s="2"/>
      <c r="D2553" s="2"/>
      <c r="E2553" s="5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>
      <c r="A2554" s="4"/>
      <c r="B2554" s="2"/>
      <c r="C2554" s="2"/>
      <c r="D2554" s="2"/>
      <c r="E2554" s="5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>
      <c r="A2555" s="4"/>
      <c r="B2555" s="2"/>
      <c r="C2555" s="2"/>
      <c r="D2555" s="2"/>
      <c r="E2555" s="5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>
      <c r="A2556" s="4"/>
      <c r="B2556" s="2"/>
      <c r="C2556" s="2"/>
      <c r="D2556" s="2"/>
      <c r="E2556" s="5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>
      <c r="A2557" s="4"/>
      <c r="B2557" s="2"/>
      <c r="C2557" s="2"/>
      <c r="D2557" s="2"/>
      <c r="E2557" s="5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>
      <c r="A2558" s="4"/>
      <c r="B2558" s="2"/>
      <c r="C2558" s="2"/>
      <c r="D2558" s="2"/>
      <c r="E2558" s="5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>
      <c r="A2559" s="4"/>
      <c r="B2559" s="2"/>
      <c r="C2559" s="2"/>
      <c r="D2559" s="2"/>
      <c r="E2559" s="5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>
      <c r="A2560" s="4"/>
      <c r="B2560" s="2"/>
      <c r="C2560" s="2"/>
      <c r="D2560" s="2"/>
      <c r="E2560" s="5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>
      <c r="A2561" s="4"/>
      <c r="B2561" s="2"/>
      <c r="C2561" s="2"/>
      <c r="D2561" s="2"/>
      <c r="E2561" s="5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>
      <c r="A2562" s="4"/>
      <c r="B2562" s="2"/>
      <c r="C2562" s="2"/>
      <c r="D2562" s="2"/>
      <c r="E2562" s="5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>
      <c r="A2563" s="4"/>
      <c r="B2563" s="2"/>
      <c r="C2563" s="2"/>
      <c r="D2563" s="2"/>
      <c r="E2563" s="5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>
      <c r="A2564" s="4"/>
      <c r="B2564" s="2"/>
      <c r="C2564" s="2"/>
      <c r="D2564" s="2"/>
      <c r="E2564" s="5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>
      <c r="A2565" s="4"/>
      <c r="B2565" s="2"/>
      <c r="C2565" s="2"/>
      <c r="D2565" s="2"/>
      <c r="E2565" s="5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>
      <c r="A2566" s="4"/>
      <c r="B2566" s="2"/>
      <c r="C2566" s="2"/>
      <c r="D2566" s="2"/>
      <c r="E2566" s="5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>
      <c r="A2567" s="4"/>
      <c r="B2567" s="2"/>
      <c r="C2567" s="2"/>
      <c r="D2567" s="2"/>
      <c r="E2567" s="5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>
      <c r="A2568" s="4"/>
      <c r="B2568" s="2"/>
      <c r="C2568" s="2"/>
      <c r="D2568" s="2"/>
      <c r="E2568" s="5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>
      <c r="A2569" s="4"/>
      <c r="B2569" s="2"/>
      <c r="C2569" s="2"/>
      <c r="D2569" s="2"/>
      <c r="E2569" s="5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>
      <c r="A2570" s="4"/>
      <c r="B2570" s="2"/>
      <c r="C2570" s="2"/>
      <c r="D2570" s="2"/>
      <c r="E2570" s="5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>
      <c r="A2571" s="4"/>
      <c r="B2571" s="2"/>
      <c r="C2571" s="2"/>
      <c r="D2571" s="2"/>
      <c r="E2571" s="5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>
      <c r="A2572" s="4"/>
      <c r="B2572" s="2"/>
      <c r="C2572" s="2"/>
      <c r="D2572" s="2"/>
      <c r="E2572" s="5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>
      <c r="A2573" s="4"/>
      <c r="B2573" s="2"/>
      <c r="C2573" s="2"/>
      <c r="D2573" s="2"/>
      <c r="E2573" s="5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>
      <c r="A2574" s="4"/>
      <c r="B2574" s="2"/>
      <c r="C2574" s="2"/>
      <c r="D2574" s="2"/>
      <c r="E2574" s="5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>
      <c r="A2575" s="4"/>
      <c r="B2575" s="2"/>
      <c r="C2575" s="2"/>
      <c r="D2575" s="2"/>
      <c r="E2575" s="5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>
      <c r="A2576" s="4"/>
      <c r="B2576" s="2"/>
      <c r="C2576" s="2"/>
      <c r="D2576" s="2"/>
      <c r="E2576" s="5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>
      <c r="A2577" s="4"/>
      <c r="B2577" s="2"/>
      <c r="C2577" s="2"/>
      <c r="D2577" s="2"/>
      <c r="E2577" s="5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>
      <c r="A2578" s="4"/>
      <c r="B2578" s="2"/>
      <c r="C2578" s="2"/>
      <c r="D2578" s="2"/>
      <c r="E2578" s="5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>
      <c r="A2579" s="4"/>
      <c r="B2579" s="2"/>
      <c r="C2579" s="2"/>
      <c r="D2579" s="2"/>
      <c r="E2579" s="5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>
      <c r="A2580" s="4"/>
      <c r="B2580" s="2"/>
      <c r="C2580" s="2"/>
      <c r="D2580" s="2"/>
      <c r="E2580" s="5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>
      <c r="A2581" s="4"/>
      <c r="B2581" s="2"/>
      <c r="C2581" s="2"/>
      <c r="D2581" s="2"/>
      <c r="E2581" s="5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>
      <c r="A2582" s="4"/>
      <c r="B2582" s="2"/>
      <c r="C2582" s="2"/>
      <c r="D2582" s="2"/>
      <c r="E2582" s="5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>
      <c r="A2583" s="4"/>
      <c r="B2583" s="2"/>
      <c r="C2583" s="2"/>
      <c r="D2583" s="2"/>
      <c r="E2583" s="5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>
      <c r="A2584" s="4"/>
      <c r="B2584" s="2"/>
      <c r="C2584" s="2"/>
      <c r="D2584" s="2"/>
      <c r="E2584" s="5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>
      <c r="A2585" s="4"/>
      <c r="B2585" s="2"/>
      <c r="C2585" s="2"/>
      <c r="D2585" s="2"/>
      <c r="E2585" s="5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>
      <c r="A2586" s="4"/>
      <c r="B2586" s="2"/>
      <c r="C2586" s="2"/>
      <c r="D2586" s="2"/>
      <c r="E2586" s="5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>
      <c r="A2587" s="4"/>
      <c r="B2587" s="2"/>
      <c r="C2587" s="2"/>
      <c r="D2587" s="2"/>
      <c r="E2587" s="5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>
      <c r="A2588" s="4"/>
      <c r="B2588" s="2"/>
      <c r="C2588" s="2"/>
      <c r="D2588" s="2"/>
      <c r="E2588" s="5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>
      <c r="A2589" s="4"/>
      <c r="B2589" s="2"/>
      <c r="C2589" s="2"/>
      <c r="D2589" s="2"/>
      <c r="E2589" s="5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>
      <c r="A2590" s="4"/>
      <c r="B2590" s="2"/>
      <c r="C2590" s="2"/>
      <c r="D2590" s="2"/>
      <c r="E2590" s="5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>
      <c r="A2591" s="4"/>
      <c r="B2591" s="2"/>
      <c r="C2591" s="2"/>
      <c r="D2591" s="2"/>
      <c r="E2591" s="5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>
      <c r="A2592" s="4"/>
      <c r="B2592" s="2"/>
      <c r="C2592" s="2"/>
      <c r="D2592" s="2"/>
      <c r="E2592" s="5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>
      <c r="A2593" s="4"/>
      <c r="B2593" s="2"/>
      <c r="C2593" s="2"/>
      <c r="D2593" s="2"/>
      <c r="E2593" s="5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>
      <c r="A2594" s="4"/>
      <c r="B2594" s="2"/>
      <c r="C2594" s="2"/>
      <c r="D2594" s="2"/>
      <c r="E2594" s="5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>
      <c r="A2595" s="4"/>
      <c r="B2595" s="2"/>
      <c r="C2595" s="2"/>
      <c r="D2595" s="2"/>
      <c r="E2595" s="5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>
      <c r="A2596" s="4"/>
      <c r="B2596" s="2"/>
      <c r="C2596" s="2"/>
      <c r="D2596" s="2"/>
      <c r="E2596" s="5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>
      <c r="A2597" s="4"/>
      <c r="B2597" s="2"/>
      <c r="C2597" s="2"/>
      <c r="D2597" s="2"/>
      <c r="E2597" s="5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>
      <c r="A2598" s="4"/>
      <c r="B2598" s="2"/>
      <c r="C2598" s="2"/>
      <c r="D2598" s="2"/>
      <c r="E2598" s="5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>
      <c r="A2599" s="4"/>
      <c r="B2599" s="2"/>
      <c r="C2599" s="2"/>
      <c r="D2599" s="2"/>
      <c r="E2599" s="5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>
      <c r="A2600" s="4"/>
      <c r="B2600" s="2"/>
      <c r="C2600" s="2"/>
      <c r="D2600" s="2"/>
      <c r="E2600" s="5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>
      <c r="A2601" s="4"/>
      <c r="B2601" s="2"/>
      <c r="C2601" s="2"/>
      <c r="D2601" s="2"/>
      <c r="E2601" s="5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>
      <c r="A2602" s="4"/>
      <c r="B2602" s="2"/>
      <c r="C2602" s="2"/>
      <c r="D2602" s="2"/>
      <c r="E2602" s="5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>
      <c r="A2603" s="4"/>
      <c r="B2603" s="2"/>
      <c r="C2603" s="2"/>
      <c r="D2603" s="2"/>
      <c r="E2603" s="5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>
      <c r="A2604" s="4"/>
      <c r="B2604" s="2"/>
      <c r="C2604" s="2"/>
      <c r="D2604" s="2"/>
      <c r="E2604" s="5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>
      <c r="A2605" s="4"/>
      <c r="B2605" s="2"/>
      <c r="C2605" s="2"/>
      <c r="D2605" s="2"/>
      <c r="E2605" s="5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>
      <c r="A2606" s="4"/>
      <c r="B2606" s="2"/>
      <c r="C2606" s="2"/>
      <c r="D2606" s="2"/>
      <c r="E2606" s="5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>
      <c r="A2607" s="4"/>
      <c r="B2607" s="2"/>
      <c r="C2607" s="2"/>
      <c r="D2607" s="2"/>
      <c r="E2607" s="5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>
      <c r="A2608" s="4"/>
      <c r="B2608" s="2"/>
      <c r="C2608" s="2"/>
      <c r="D2608" s="2"/>
      <c r="E2608" s="5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>
      <c r="A2609" s="4"/>
      <c r="B2609" s="2"/>
      <c r="C2609" s="2"/>
      <c r="D2609" s="2"/>
      <c r="E2609" s="5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>
      <c r="A2610" s="4"/>
      <c r="B2610" s="2"/>
      <c r="C2610" s="2"/>
      <c r="D2610" s="2"/>
      <c r="E2610" s="5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>
      <c r="A2611" s="4"/>
      <c r="B2611" s="2"/>
      <c r="C2611" s="2"/>
      <c r="D2611" s="2"/>
      <c r="E2611" s="5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>
      <c r="A2612" s="4"/>
      <c r="B2612" s="2"/>
      <c r="C2612" s="2"/>
      <c r="D2612" s="2"/>
      <c r="E2612" s="5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>
      <c r="A2613" s="4"/>
      <c r="B2613" s="2"/>
      <c r="C2613" s="2"/>
      <c r="D2613" s="2"/>
      <c r="E2613" s="5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>
      <c r="A2614" s="4"/>
      <c r="B2614" s="2"/>
      <c r="C2614" s="2"/>
      <c r="D2614" s="2"/>
      <c r="E2614" s="5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>
      <c r="A2615" s="4"/>
      <c r="B2615" s="2"/>
      <c r="C2615" s="2"/>
      <c r="D2615" s="2"/>
      <c r="E2615" s="5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>
      <c r="A2616" s="4"/>
      <c r="B2616" s="2"/>
      <c r="C2616" s="2"/>
      <c r="D2616" s="2"/>
      <c r="E2616" s="5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>
      <c r="A2617" s="4"/>
      <c r="B2617" s="2"/>
      <c r="C2617" s="2"/>
      <c r="D2617" s="2"/>
      <c r="E2617" s="5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>
      <c r="A2618" s="4"/>
      <c r="B2618" s="2"/>
      <c r="C2618" s="2"/>
      <c r="D2618" s="2"/>
      <c r="E2618" s="5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>
      <c r="A2619" s="4"/>
      <c r="B2619" s="2"/>
      <c r="C2619" s="2"/>
      <c r="D2619" s="2"/>
      <c r="E2619" s="5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>
      <c r="A2620" s="4"/>
      <c r="B2620" s="2"/>
      <c r="C2620" s="2"/>
      <c r="D2620" s="2"/>
      <c r="E2620" s="5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>
      <c r="A2621" s="4"/>
      <c r="B2621" s="2"/>
      <c r="C2621" s="2"/>
      <c r="D2621" s="2"/>
      <c r="E2621" s="5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>
      <c r="A2622" s="4"/>
      <c r="B2622" s="2"/>
      <c r="C2622" s="2"/>
      <c r="D2622" s="2"/>
      <c r="E2622" s="5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>
      <c r="A2623" s="4"/>
      <c r="B2623" s="2"/>
      <c r="C2623" s="2"/>
      <c r="D2623" s="2"/>
      <c r="E2623" s="5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>
      <c r="A2624" s="4"/>
      <c r="B2624" s="2"/>
      <c r="C2624" s="2"/>
      <c r="D2624" s="2"/>
      <c r="E2624" s="5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>
      <c r="A2625" s="4"/>
      <c r="B2625" s="2"/>
      <c r="C2625" s="2"/>
      <c r="D2625" s="2"/>
      <c r="E2625" s="5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>
      <c r="A2626" s="4"/>
      <c r="B2626" s="2"/>
      <c r="C2626" s="2"/>
      <c r="D2626" s="2"/>
      <c r="E2626" s="5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>
      <c r="A2627" s="4"/>
      <c r="B2627" s="2"/>
      <c r="C2627" s="2"/>
      <c r="D2627" s="2"/>
      <c r="E2627" s="5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>
      <c r="A2628" s="4"/>
      <c r="B2628" s="2"/>
      <c r="C2628" s="2"/>
      <c r="D2628" s="2"/>
      <c r="E2628" s="5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>
      <c r="A2629" s="4"/>
      <c r="B2629" s="2"/>
      <c r="C2629" s="2"/>
      <c r="D2629" s="2"/>
      <c r="E2629" s="5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>
      <c r="A2630" s="4"/>
      <c r="B2630" s="2"/>
      <c r="C2630" s="2"/>
      <c r="D2630" s="2"/>
      <c r="E2630" s="5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>
      <c r="A2631" s="4"/>
      <c r="B2631" s="2"/>
      <c r="C2631" s="2"/>
      <c r="D2631" s="2"/>
      <c r="E2631" s="5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>
      <c r="A2632" s="4"/>
      <c r="B2632" s="2"/>
      <c r="C2632" s="2"/>
      <c r="D2632" s="2"/>
      <c r="E2632" s="5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>
      <c r="A2633" s="4"/>
      <c r="B2633" s="2"/>
      <c r="C2633" s="2"/>
      <c r="D2633" s="2"/>
      <c r="E2633" s="5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>
      <c r="A2634" s="4"/>
      <c r="B2634" s="2"/>
      <c r="C2634" s="2"/>
      <c r="D2634" s="2"/>
      <c r="E2634" s="5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>
      <c r="A2635" s="4"/>
      <c r="B2635" s="2"/>
      <c r="C2635" s="2"/>
      <c r="D2635" s="2"/>
      <c r="E2635" s="5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>
      <c r="A2636" s="4"/>
      <c r="B2636" s="2"/>
      <c r="C2636" s="2"/>
      <c r="D2636" s="2"/>
      <c r="E2636" s="5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>
      <c r="A2637" s="4"/>
      <c r="B2637" s="2"/>
      <c r="C2637" s="2"/>
      <c r="D2637" s="2"/>
      <c r="E2637" s="5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>
      <c r="A2638" s="4"/>
      <c r="B2638" s="2"/>
      <c r="C2638" s="2"/>
      <c r="D2638" s="2"/>
      <c r="E2638" s="5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>
      <c r="A2639" s="4"/>
      <c r="B2639" s="2"/>
      <c r="C2639" s="2"/>
      <c r="D2639" s="2"/>
      <c r="E2639" s="5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>
      <c r="A2640" s="4"/>
      <c r="B2640" s="2"/>
      <c r="C2640" s="2"/>
      <c r="D2640" s="2"/>
      <c r="E2640" s="5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>
      <c r="A2641" s="4"/>
      <c r="B2641" s="2"/>
      <c r="C2641" s="2"/>
      <c r="D2641" s="2"/>
      <c r="E2641" s="5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>
      <c r="A2642" s="4"/>
      <c r="B2642" s="2"/>
      <c r="C2642" s="2"/>
      <c r="D2642" s="2"/>
      <c r="E2642" s="5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>
      <c r="A2643" s="4"/>
      <c r="B2643" s="2"/>
      <c r="C2643" s="2"/>
      <c r="D2643" s="2"/>
      <c r="E2643" s="5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>
      <c r="A2644" s="4"/>
      <c r="B2644" s="2"/>
      <c r="C2644" s="2"/>
      <c r="D2644" s="2"/>
      <c r="E2644" s="5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>
      <c r="A2645" s="4"/>
      <c r="B2645" s="2"/>
      <c r="C2645" s="2"/>
      <c r="D2645" s="2"/>
      <c r="E2645" s="5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>
      <c r="A2646" s="4"/>
      <c r="B2646" s="2"/>
      <c r="C2646" s="2"/>
      <c r="D2646" s="2"/>
      <c r="E2646" s="5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>
      <c r="A2647" s="4"/>
      <c r="B2647" s="2"/>
      <c r="C2647" s="2"/>
      <c r="D2647" s="2"/>
      <c r="E2647" s="5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>
      <c r="A2648" s="4"/>
      <c r="B2648" s="2"/>
      <c r="C2648" s="2"/>
      <c r="D2648" s="2"/>
      <c r="E2648" s="5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>
      <c r="A2649" s="4"/>
      <c r="B2649" s="2"/>
      <c r="C2649" s="2"/>
      <c r="D2649" s="2"/>
      <c r="E2649" s="5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>
      <c r="A2650" s="4"/>
      <c r="B2650" s="2"/>
      <c r="C2650" s="2"/>
      <c r="D2650" s="2"/>
      <c r="E2650" s="5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>
      <c r="A2651" s="4"/>
      <c r="B2651" s="2"/>
      <c r="C2651" s="2"/>
      <c r="D2651" s="2"/>
      <c r="E2651" s="5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>
      <c r="A2652" s="4"/>
      <c r="B2652" s="2"/>
      <c r="C2652" s="2"/>
      <c r="D2652" s="2"/>
      <c r="E2652" s="5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>
      <c r="A2653" s="4"/>
      <c r="B2653" s="2"/>
      <c r="C2653" s="2"/>
      <c r="D2653" s="2"/>
      <c r="E2653" s="5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>
      <c r="A2654" s="4"/>
      <c r="B2654" s="2"/>
      <c r="C2654" s="2"/>
      <c r="D2654" s="2"/>
      <c r="E2654" s="5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>
      <c r="A2655" s="4"/>
      <c r="B2655" s="2"/>
      <c r="C2655" s="2"/>
      <c r="D2655" s="2"/>
      <c r="E2655" s="5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>
      <c r="A2656" s="4"/>
      <c r="B2656" s="2"/>
      <c r="C2656" s="2"/>
      <c r="D2656" s="2"/>
      <c r="E2656" s="5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>
      <c r="A2657" s="4"/>
      <c r="B2657" s="2"/>
      <c r="C2657" s="2"/>
      <c r="D2657" s="2"/>
      <c r="E2657" s="5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>
      <c r="A2658" s="4"/>
      <c r="B2658" s="2"/>
      <c r="C2658" s="2"/>
      <c r="D2658" s="2"/>
      <c r="E2658" s="5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>
      <c r="A2659" s="4"/>
      <c r="B2659" s="2"/>
      <c r="C2659" s="2"/>
      <c r="D2659" s="2"/>
      <c r="E2659" s="5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>
      <c r="A2660" s="4"/>
      <c r="B2660" s="2"/>
      <c r="C2660" s="2"/>
      <c r="D2660" s="2"/>
      <c r="E2660" s="5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>
      <c r="A2661" s="4"/>
      <c r="B2661" s="2"/>
      <c r="C2661" s="2"/>
      <c r="D2661" s="2"/>
      <c r="E2661" s="5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>
      <c r="A2662" s="4"/>
      <c r="B2662" s="2"/>
      <c r="C2662" s="2"/>
      <c r="D2662" s="2"/>
      <c r="E2662" s="5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>
      <c r="A2663" s="4"/>
      <c r="B2663" s="2"/>
      <c r="C2663" s="2"/>
      <c r="D2663" s="2"/>
      <c r="E2663" s="5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>
      <c r="A2664" s="4"/>
      <c r="B2664" s="2"/>
      <c r="C2664" s="2"/>
      <c r="D2664" s="2"/>
      <c r="E2664" s="5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>
      <c r="A2665" s="4"/>
      <c r="B2665" s="2"/>
      <c r="C2665" s="2"/>
      <c r="D2665" s="2"/>
      <c r="E2665" s="5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>
      <c r="A2666" s="4"/>
      <c r="B2666" s="2"/>
      <c r="C2666" s="2"/>
      <c r="D2666" s="2"/>
      <c r="E2666" s="5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>
      <c r="A2667" s="4"/>
      <c r="B2667" s="2"/>
      <c r="C2667" s="2"/>
      <c r="D2667" s="2"/>
      <c r="E2667" s="5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>
      <c r="A2668" s="4"/>
      <c r="B2668" s="2"/>
      <c r="C2668" s="2"/>
      <c r="D2668" s="2"/>
      <c r="E2668" s="5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>
      <c r="A2669" s="4"/>
      <c r="B2669" s="2"/>
      <c r="C2669" s="2"/>
      <c r="D2669" s="2"/>
      <c r="E2669" s="5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>
      <c r="A2670" s="4"/>
      <c r="B2670" s="2"/>
      <c r="C2670" s="2"/>
      <c r="D2670" s="2"/>
      <c r="E2670" s="5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>
      <c r="A2671" s="4"/>
      <c r="B2671" s="2"/>
      <c r="C2671" s="2"/>
      <c r="D2671" s="2"/>
      <c r="E2671" s="5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>
      <c r="A2672" s="4"/>
      <c r="B2672" s="2"/>
      <c r="C2672" s="2"/>
      <c r="D2672" s="2"/>
      <c r="E2672" s="5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>
      <c r="A2673" s="4"/>
      <c r="B2673" s="2"/>
      <c r="C2673" s="2"/>
      <c r="D2673" s="2"/>
      <c r="E2673" s="5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>
      <c r="A2674" s="4"/>
      <c r="B2674" s="2"/>
      <c r="C2674" s="2"/>
      <c r="D2674" s="2"/>
      <c r="E2674" s="5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>
      <c r="A2675" s="4"/>
      <c r="B2675" s="2"/>
      <c r="C2675" s="2"/>
      <c r="D2675" s="2"/>
      <c r="E2675" s="5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>
      <c r="A2676" s="4"/>
      <c r="B2676" s="2"/>
      <c r="C2676" s="2"/>
      <c r="D2676" s="2"/>
      <c r="E2676" s="5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>
      <c r="A2677" s="4"/>
      <c r="B2677" s="2"/>
      <c r="C2677" s="2"/>
      <c r="D2677" s="2"/>
      <c r="E2677" s="5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>
      <c r="A2678" s="4"/>
      <c r="B2678" s="2"/>
      <c r="C2678" s="2"/>
      <c r="D2678" s="2"/>
      <c r="E2678" s="5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>
      <c r="A2679" s="4"/>
      <c r="B2679" s="2"/>
      <c r="C2679" s="2"/>
      <c r="D2679" s="2"/>
      <c r="E2679" s="5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>
      <c r="A2680" s="4"/>
      <c r="B2680" s="2"/>
      <c r="C2680" s="2"/>
      <c r="D2680" s="2"/>
      <c r="E2680" s="5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>
      <c r="A2681" s="4"/>
      <c r="B2681" s="2"/>
      <c r="C2681" s="2"/>
      <c r="D2681" s="2"/>
      <c r="E2681" s="5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>
      <c r="A2682" s="4"/>
      <c r="B2682" s="2"/>
      <c r="C2682" s="2"/>
      <c r="D2682" s="2"/>
      <c r="E2682" s="5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>
      <c r="A2683" s="4"/>
      <c r="B2683" s="2"/>
      <c r="C2683" s="2"/>
      <c r="D2683" s="2"/>
      <c r="E2683" s="5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>
      <c r="A2684" s="4"/>
      <c r="B2684" s="2"/>
      <c r="C2684" s="2"/>
      <c r="D2684" s="2"/>
      <c r="E2684" s="5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>
      <c r="A2685" s="4"/>
      <c r="B2685" s="2"/>
      <c r="C2685" s="2"/>
      <c r="D2685" s="2"/>
      <c r="E2685" s="5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>
      <c r="A2686" s="4"/>
      <c r="B2686" s="2"/>
      <c r="C2686" s="2"/>
      <c r="D2686" s="2"/>
      <c r="E2686" s="5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>
      <c r="A2687" s="4"/>
      <c r="B2687" s="2"/>
      <c r="C2687" s="2"/>
      <c r="D2687" s="2"/>
      <c r="E2687" s="5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>
      <c r="A2688" s="4"/>
      <c r="B2688" s="2"/>
      <c r="C2688" s="2"/>
      <c r="D2688" s="2"/>
      <c r="E2688" s="5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>
      <c r="A2689" s="4"/>
      <c r="B2689" s="2"/>
      <c r="C2689" s="2"/>
      <c r="D2689" s="2"/>
      <c r="E2689" s="5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>
      <c r="A2690" s="4"/>
      <c r="B2690" s="2"/>
      <c r="C2690" s="2"/>
      <c r="D2690" s="2"/>
      <c r="E2690" s="5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>
      <c r="A2691" s="4"/>
      <c r="B2691" s="2"/>
      <c r="C2691" s="2"/>
      <c r="D2691" s="2"/>
      <c r="E2691" s="5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>
      <c r="A2692" s="4"/>
      <c r="B2692" s="2"/>
      <c r="C2692" s="2"/>
      <c r="D2692" s="2"/>
      <c r="E2692" s="5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>
      <c r="A2693" s="4"/>
      <c r="B2693" s="2"/>
      <c r="C2693" s="2"/>
      <c r="D2693" s="2"/>
      <c r="E2693" s="5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>
      <c r="A2694" s="4"/>
      <c r="B2694" s="2"/>
      <c r="C2694" s="2"/>
      <c r="D2694" s="2"/>
      <c r="E2694" s="5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>
      <c r="A2695" s="4"/>
      <c r="B2695" s="2"/>
      <c r="C2695" s="2"/>
      <c r="D2695" s="2"/>
      <c r="E2695" s="5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>
      <c r="A2696" s="4"/>
      <c r="B2696" s="2"/>
      <c r="C2696" s="2"/>
      <c r="D2696" s="2"/>
      <c r="E2696" s="5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>
      <c r="A2697" s="4"/>
      <c r="B2697" s="2"/>
      <c r="C2697" s="2"/>
      <c r="D2697" s="2"/>
      <c r="E2697" s="5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>
      <c r="A2698" s="4"/>
      <c r="B2698" s="2"/>
      <c r="C2698" s="2"/>
      <c r="D2698" s="2"/>
      <c r="E2698" s="5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>
      <c r="A2699" s="4"/>
      <c r="B2699" s="2"/>
      <c r="C2699" s="2"/>
      <c r="D2699" s="2"/>
      <c r="E2699" s="5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>
      <c r="A2700" s="4"/>
      <c r="B2700" s="2"/>
      <c r="C2700" s="2"/>
      <c r="D2700" s="2"/>
      <c r="E2700" s="5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>
      <c r="A2701" s="4"/>
      <c r="B2701" s="2"/>
      <c r="C2701" s="2"/>
      <c r="D2701" s="2"/>
      <c r="E2701" s="5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>
      <c r="A2702" s="4"/>
      <c r="B2702" s="2"/>
      <c r="C2702" s="2"/>
      <c r="D2702" s="2"/>
      <c r="E2702" s="5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>
      <c r="A2703" s="4"/>
      <c r="B2703" s="2"/>
      <c r="C2703" s="2"/>
      <c r="D2703" s="2"/>
      <c r="E2703" s="5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>
      <c r="A2704" s="4"/>
      <c r="B2704" s="2"/>
      <c r="C2704" s="2"/>
      <c r="D2704" s="2"/>
      <c r="E2704" s="5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>
      <c r="A2705" s="4"/>
      <c r="B2705" s="2"/>
      <c r="C2705" s="2"/>
      <c r="D2705" s="2"/>
      <c r="E2705" s="5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>
      <c r="A2706" s="4"/>
      <c r="B2706" s="2"/>
      <c r="C2706" s="2"/>
      <c r="D2706" s="2"/>
      <c r="E2706" s="5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>
      <c r="A2707" s="4"/>
      <c r="B2707" s="2"/>
      <c r="C2707" s="2"/>
      <c r="D2707" s="2"/>
      <c r="E2707" s="5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>
      <c r="A2708" s="4"/>
      <c r="B2708" s="2"/>
      <c r="C2708" s="2"/>
      <c r="D2708" s="2"/>
      <c r="E2708" s="5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>
      <c r="A2709" s="4"/>
      <c r="B2709" s="2"/>
      <c r="C2709" s="2"/>
      <c r="D2709" s="2"/>
      <c r="E2709" s="5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>
      <c r="A2710" s="4"/>
      <c r="B2710" s="2"/>
      <c r="C2710" s="2"/>
      <c r="D2710" s="2"/>
      <c r="E2710" s="5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>
      <c r="A2711" s="4"/>
      <c r="B2711" s="2"/>
      <c r="C2711" s="2"/>
      <c r="D2711" s="2"/>
      <c r="E2711" s="5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>
      <c r="A2712" s="4"/>
      <c r="B2712" s="2"/>
      <c r="C2712" s="2"/>
      <c r="D2712" s="2"/>
      <c r="E2712" s="5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>
      <c r="A2713" s="4"/>
      <c r="B2713" s="2"/>
      <c r="C2713" s="2"/>
      <c r="D2713" s="2"/>
      <c r="E2713" s="5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>
      <c r="A2714" s="4"/>
      <c r="B2714" s="2"/>
      <c r="C2714" s="2"/>
      <c r="D2714" s="2"/>
      <c r="E2714" s="5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>
      <c r="A2715" s="4"/>
      <c r="B2715" s="2"/>
      <c r="C2715" s="2"/>
      <c r="D2715" s="2"/>
      <c r="E2715" s="5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>
      <c r="A2716" s="4"/>
      <c r="B2716" s="2"/>
      <c r="C2716" s="2"/>
      <c r="D2716" s="2"/>
      <c r="E2716" s="5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>
      <c r="A2717" s="4"/>
      <c r="B2717" s="2"/>
      <c r="C2717" s="2"/>
      <c r="D2717" s="2"/>
      <c r="E2717" s="5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>
      <c r="A2718" s="4"/>
      <c r="B2718" s="2"/>
      <c r="C2718" s="2"/>
      <c r="D2718" s="2"/>
      <c r="E2718" s="5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>
      <c r="A2719" s="4"/>
      <c r="B2719" s="2"/>
      <c r="C2719" s="2"/>
      <c r="D2719" s="2"/>
      <c r="E2719" s="5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>
      <c r="A2720" s="4"/>
      <c r="B2720" s="2"/>
      <c r="C2720" s="2"/>
      <c r="D2720" s="2"/>
      <c r="E2720" s="5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>
      <c r="A2721" s="4"/>
      <c r="B2721" s="2"/>
      <c r="C2721" s="2"/>
      <c r="D2721" s="2"/>
      <c r="E2721" s="5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>
      <c r="A2722" s="4"/>
      <c r="B2722" s="2"/>
      <c r="C2722" s="2"/>
      <c r="D2722" s="2"/>
      <c r="E2722" s="5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>
      <c r="A2723" s="4"/>
      <c r="B2723" s="2"/>
      <c r="C2723" s="2"/>
      <c r="D2723" s="2"/>
      <c r="E2723" s="5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>
      <c r="A2724" s="4"/>
      <c r="B2724" s="2"/>
      <c r="C2724" s="2"/>
      <c r="D2724" s="2"/>
      <c r="E2724" s="5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>
      <c r="A2725" s="4"/>
      <c r="B2725" s="2"/>
      <c r="C2725" s="2"/>
      <c r="D2725" s="2"/>
      <c r="E2725" s="5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>
      <c r="A2726" s="4"/>
      <c r="B2726" s="2"/>
      <c r="C2726" s="2"/>
      <c r="D2726" s="2"/>
      <c r="E2726" s="5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>
      <c r="A2727" s="4"/>
      <c r="B2727" s="2"/>
      <c r="C2727" s="2"/>
      <c r="D2727" s="2"/>
      <c r="E2727" s="5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>
      <c r="A2728" s="4"/>
      <c r="B2728" s="2"/>
      <c r="C2728" s="2"/>
      <c r="D2728" s="2"/>
      <c r="E2728" s="5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>
      <c r="A2729" s="4"/>
      <c r="B2729" s="2"/>
      <c r="C2729" s="2"/>
      <c r="D2729" s="2"/>
      <c r="E2729" s="5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>
      <c r="A2730" s="4"/>
      <c r="B2730" s="2"/>
      <c r="C2730" s="2"/>
      <c r="D2730" s="2"/>
      <c r="E2730" s="5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>
      <c r="A2731" s="4"/>
      <c r="B2731" s="2"/>
      <c r="C2731" s="2"/>
      <c r="D2731" s="2"/>
      <c r="E2731" s="5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>
      <c r="A2732" s="4"/>
      <c r="B2732" s="2"/>
      <c r="C2732" s="2"/>
      <c r="D2732" s="2"/>
      <c r="E2732" s="5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>
      <c r="A2733" s="4"/>
      <c r="B2733" s="2"/>
      <c r="C2733" s="2"/>
      <c r="D2733" s="2"/>
      <c r="E2733" s="5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>
      <c r="A2734" s="4"/>
      <c r="B2734" s="2"/>
      <c r="C2734" s="2"/>
      <c r="D2734" s="2"/>
      <c r="E2734" s="5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>
      <c r="A2735" s="4"/>
      <c r="B2735" s="2"/>
      <c r="C2735" s="2"/>
      <c r="D2735" s="2"/>
      <c r="E2735" s="5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>
      <c r="A2736" s="4"/>
      <c r="B2736" s="2"/>
      <c r="C2736" s="2"/>
      <c r="D2736" s="2"/>
      <c r="E2736" s="5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>
      <c r="A2737" s="4"/>
      <c r="B2737" s="2"/>
      <c r="C2737" s="2"/>
      <c r="D2737" s="2"/>
      <c r="E2737" s="5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>
      <c r="A2738" s="4"/>
      <c r="B2738" s="2"/>
      <c r="C2738" s="2"/>
      <c r="D2738" s="2"/>
      <c r="E2738" s="5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>
      <c r="A2739" s="4"/>
      <c r="B2739" s="2"/>
      <c r="C2739" s="2"/>
      <c r="D2739" s="2"/>
      <c r="E2739" s="5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>
      <c r="A2740" s="4"/>
      <c r="B2740" s="2"/>
      <c r="C2740" s="2"/>
      <c r="D2740" s="2"/>
      <c r="E2740" s="5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>
      <c r="A2741" s="4"/>
      <c r="B2741" s="2"/>
      <c r="C2741" s="2"/>
      <c r="D2741" s="2"/>
      <c r="E2741" s="5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>
      <c r="A2742" s="4"/>
      <c r="B2742" s="2"/>
      <c r="C2742" s="2"/>
      <c r="D2742" s="2"/>
      <c r="E2742" s="5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>
      <c r="A2743" s="4"/>
      <c r="B2743" s="2"/>
      <c r="C2743" s="2"/>
      <c r="D2743" s="2"/>
      <c r="E2743" s="5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>
      <c r="A2744" s="4"/>
      <c r="B2744" s="2"/>
      <c r="C2744" s="2"/>
      <c r="D2744" s="2"/>
      <c r="E2744" s="5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>
      <c r="A2745" s="4"/>
      <c r="B2745" s="2"/>
      <c r="C2745" s="2"/>
      <c r="D2745" s="2"/>
      <c r="E2745" s="5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>
      <c r="A2746" s="4"/>
      <c r="B2746" s="2"/>
      <c r="C2746" s="2"/>
      <c r="D2746" s="2"/>
      <c r="E2746" s="5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>
      <c r="A2747" s="4"/>
      <c r="B2747" s="2"/>
      <c r="C2747" s="2"/>
      <c r="D2747" s="2"/>
      <c r="E2747" s="5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>
      <c r="A2748" s="4"/>
      <c r="B2748" s="2"/>
      <c r="C2748" s="2"/>
      <c r="D2748" s="2"/>
      <c r="E2748" s="5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>
      <c r="A2749" s="4"/>
      <c r="B2749" s="2"/>
      <c r="C2749" s="2"/>
      <c r="D2749" s="2"/>
      <c r="E2749" s="5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>
      <c r="A2750" s="4"/>
      <c r="B2750" s="2"/>
      <c r="C2750" s="2"/>
      <c r="D2750" s="2"/>
      <c r="E2750" s="5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>
      <c r="A2751" s="4"/>
      <c r="B2751" s="2"/>
      <c r="C2751" s="2"/>
      <c r="D2751" s="2"/>
      <c r="E2751" s="5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>
      <c r="A2752" s="4"/>
      <c r="B2752" s="2"/>
      <c r="C2752" s="2"/>
      <c r="D2752" s="2"/>
      <c r="E2752" s="5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>
      <c r="A2753" s="4"/>
      <c r="B2753" s="2"/>
      <c r="C2753" s="2"/>
      <c r="D2753" s="2"/>
      <c r="E2753" s="5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>
      <c r="A2754" s="4"/>
      <c r="B2754" s="2"/>
      <c r="C2754" s="2"/>
      <c r="D2754" s="2"/>
      <c r="E2754" s="5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>
      <c r="A2755" s="4"/>
      <c r="B2755" s="2"/>
      <c r="C2755" s="2"/>
      <c r="D2755" s="2"/>
      <c r="E2755" s="5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>
      <c r="A2756" s="4"/>
      <c r="B2756" s="2"/>
      <c r="C2756" s="2"/>
      <c r="D2756" s="2"/>
      <c r="E2756" s="5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>
      <c r="A2757" s="4"/>
      <c r="B2757" s="2"/>
      <c r="C2757" s="2"/>
      <c r="D2757" s="2"/>
      <c r="E2757" s="5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>
      <c r="A2758" s="4"/>
      <c r="B2758" s="2"/>
      <c r="C2758" s="2"/>
      <c r="D2758" s="2"/>
      <c r="E2758" s="5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>
      <c r="A2759" s="4"/>
      <c r="B2759" s="2"/>
      <c r="C2759" s="2"/>
      <c r="D2759" s="2"/>
      <c r="E2759" s="5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>
      <c r="A2760" s="4"/>
      <c r="B2760" s="2"/>
      <c r="C2760" s="2"/>
      <c r="D2760" s="2"/>
      <c r="E2760" s="5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>
      <c r="A2761" s="4"/>
      <c r="B2761" s="2"/>
      <c r="C2761" s="2"/>
      <c r="D2761" s="2"/>
      <c r="E2761" s="5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>
      <c r="A2762" s="4"/>
      <c r="B2762" s="2"/>
      <c r="C2762" s="2"/>
      <c r="D2762" s="2"/>
      <c r="E2762" s="5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>
      <c r="A2763" s="4"/>
      <c r="B2763" s="2"/>
      <c r="C2763" s="2"/>
      <c r="D2763" s="2"/>
      <c r="E2763" s="5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>
      <c r="A2764" s="4"/>
      <c r="B2764" s="2"/>
      <c r="C2764" s="2"/>
      <c r="D2764" s="2"/>
      <c r="E2764" s="5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>
      <c r="A2765" s="4"/>
      <c r="B2765" s="2"/>
      <c r="C2765" s="2"/>
      <c r="D2765" s="2"/>
      <c r="E2765" s="5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>
      <c r="A2766" s="4"/>
      <c r="B2766" s="2"/>
      <c r="C2766" s="2"/>
      <c r="D2766" s="2"/>
      <c r="E2766" s="5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>
      <c r="A2767" s="4"/>
      <c r="B2767" s="2"/>
      <c r="C2767" s="2"/>
      <c r="D2767" s="2"/>
      <c r="E2767" s="5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>
      <c r="A2768" s="4"/>
      <c r="B2768" s="2"/>
      <c r="C2768" s="2"/>
      <c r="D2768" s="2"/>
      <c r="E2768" s="5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>
      <c r="A2769" s="4"/>
      <c r="B2769" s="2"/>
      <c r="C2769" s="2"/>
      <c r="D2769" s="2"/>
      <c r="E2769" s="5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>
      <c r="A2770" s="4"/>
      <c r="B2770" s="2"/>
      <c r="C2770" s="2"/>
      <c r="D2770" s="2"/>
      <c r="E2770" s="5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>
      <c r="A2771" s="4"/>
      <c r="B2771" s="2"/>
      <c r="C2771" s="2"/>
      <c r="D2771" s="2"/>
      <c r="E2771" s="5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>
      <c r="A2772" s="4"/>
      <c r="B2772" s="2"/>
      <c r="C2772" s="2"/>
      <c r="D2772" s="2"/>
      <c r="E2772" s="5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>
      <c r="A2773" s="4"/>
      <c r="B2773" s="2"/>
      <c r="C2773" s="2"/>
      <c r="D2773" s="2"/>
      <c r="E2773" s="5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>
      <c r="A2774" s="4"/>
      <c r="B2774" s="2"/>
      <c r="C2774" s="2"/>
      <c r="D2774" s="2"/>
      <c r="E2774" s="5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>
      <c r="A2775" s="4"/>
      <c r="B2775" s="2"/>
      <c r="C2775" s="2"/>
      <c r="D2775" s="2"/>
      <c r="E2775" s="5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>
      <c r="A2776" s="4"/>
      <c r="B2776" s="2"/>
      <c r="C2776" s="2"/>
      <c r="D2776" s="2"/>
      <c r="E2776" s="5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>
      <c r="A2777" s="4"/>
      <c r="B2777" s="2"/>
      <c r="C2777" s="2"/>
      <c r="D2777" s="2"/>
      <c r="E2777" s="5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>
      <c r="A2778" s="4"/>
      <c r="B2778" s="2"/>
      <c r="C2778" s="2"/>
      <c r="D2778" s="2"/>
      <c r="E2778" s="5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>
      <c r="A2779" s="4"/>
      <c r="B2779" s="2"/>
      <c r="C2779" s="2"/>
      <c r="D2779" s="2"/>
      <c r="E2779" s="5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>
      <c r="A2780" s="4"/>
      <c r="B2780" s="2"/>
      <c r="C2780" s="2"/>
      <c r="D2780" s="2"/>
      <c r="E2780" s="5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>
      <c r="A2781" s="4"/>
      <c r="B2781" s="2"/>
      <c r="C2781" s="2"/>
      <c r="D2781" s="2"/>
      <c r="E2781" s="5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>
      <c r="A2782" s="4"/>
      <c r="B2782" s="2"/>
      <c r="C2782" s="2"/>
      <c r="D2782" s="2"/>
      <c r="E2782" s="5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>
      <c r="A2783" s="4"/>
      <c r="B2783" s="2"/>
      <c r="C2783" s="2"/>
      <c r="D2783" s="2"/>
      <c r="E2783" s="5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>
      <c r="A2784" s="4"/>
      <c r="B2784" s="2"/>
      <c r="C2784" s="2"/>
      <c r="D2784" s="2"/>
      <c r="E2784" s="5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>
      <c r="A2785" s="4"/>
      <c r="B2785" s="2"/>
      <c r="C2785" s="2"/>
      <c r="D2785" s="2"/>
      <c r="E2785" s="5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>
      <c r="A2786" s="4"/>
      <c r="B2786" s="2"/>
      <c r="C2786" s="2"/>
      <c r="D2786" s="2"/>
      <c r="E2786" s="5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>
      <c r="A2787" s="4"/>
      <c r="B2787" s="2"/>
      <c r="C2787" s="2"/>
      <c r="D2787" s="2"/>
      <c r="E2787" s="5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>
      <c r="A2788" s="4"/>
      <c r="B2788" s="2"/>
      <c r="C2788" s="2"/>
      <c r="D2788" s="2"/>
      <c r="E2788" s="5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>
      <c r="A2789" s="4"/>
      <c r="B2789" s="2"/>
      <c r="C2789" s="2"/>
      <c r="D2789" s="2"/>
      <c r="E2789" s="5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>
      <c r="A2790" s="4"/>
      <c r="B2790" s="2"/>
      <c r="C2790" s="2"/>
      <c r="D2790" s="2"/>
      <c r="E2790" s="5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>
      <c r="A2791" s="4"/>
      <c r="B2791" s="2"/>
      <c r="C2791" s="2"/>
      <c r="D2791" s="2"/>
      <c r="E2791" s="5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>
      <c r="A2792" s="4"/>
      <c r="B2792" s="2"/>
      <c r="C2792" s="2"/>
      <c r="D2792" s="2"/>
      <c r="E2792" s="5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>
      <c r="A2793" s="4"/>
      <c r="B2793" s="2"/>
      <c r="C2793" s="2"/>
      <c r="D2793" s="2"/>
      <c r="E2793" s="5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>
      <c r="A2794" s="4"/>
      <c r="B2794" s="2"/>
      <c r="C2794" s="2"/>
      <c r="D2794" s="2"/>
      <c r="E2794" s="5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>
      <c r="A2795" s="4"/>
      <c r="B2795" s="2"/>
      <c r="C2795" s="2"/>
      <c r="D2795" s="2"/>
      <c r="E2795" s="5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>
      <c r="A2796" s="4"/>
      <c r="B2796" s="2"/>
      <c r="C2796" s="2"/>
      <c r="D2796" s="2"/>
      <c r="E2796" s="5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>
      <c r="A2797" s="4"/>
      <c r="B2797" s="2"/>
      <c r="C2797" s="2"/>
      <c r="D2797" s="2"/>
      <c r="E2797" s="5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>
      <c r="A2798" s="4"/>
      <c r="B2798" s="2"/>
      <c r="C2798" s="2"/>
      <c r="D2798" s="2"/>
      <c r="E2798" s="5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>
      <c r="A2799" s="4"/>
      <c r="B2799" s="2"/>
      <c r="C2799" s="2"/>
      <c r="D2799" s="2"/>
      <c r="E2799" s="5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>
      <c r="A2800" s="4"/>
      <c r="B2800" s="2"/>
      <c r="C2800" s="2"/>
      <c r="D2800" s="2"/>
      <c r="E2800" s="5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>
      <c r="A2801" s="4"/>
      <c r="B2801" s="2"/>
      <c r="C2801" s="2"/>
      <c r="D2801" s="2"/>
      <c r="E2801" s="5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>
      <c r="A2802" s="4"/>
      <c r="B2802" s="2"/>
      <c r="C2802" s="2"/>
      <c r="D2802" s="2"/>
      <c r="E2802" s="5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>
      <c r="A2803" s="4"/>
      <c r="B2803" s="2"/>
      <c r="C2803" s="2"/>
      <c r="D2803" s="2"/>
      <c r="E2803" s="5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>
      <c r="A2804" s="4"/>
      <c r="B2804" s="2"/>
      <c r="C2804" s="2"/>
      <c r="D2804" s="2"/>
      <c r="E2804" s="5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>
      <c r="A2805" s="4"/>
      <c r="B2805" s="2"/>
      <c r="C2805" s="2"/>
      <c r="D2805" s="2"/>
      <c r="E2805" s="5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>
      <c r="A2806" s="4"/>
      <c r="B2806" s="2"/>
      <c r="C2806" s="2"/>
      <c r="D2806" s="2"/>
      <c r="E2806" s="5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>
      <c r="A2807" s="4"/>
      <c r="B2807" s="2"/>
      <c r="C2807" s="2"/>
      <c r="D2807" s="2"/>
      <c r="E2807" s="5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>
      <c r="A2808" s="4"/>
      <c r="B2808" s="2"/>
      <c r="C2808" s="2"/>
      <c r="D2808" s="2"/>
      <c r="E2808" s="5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>
      <c r="A2809" s="4"/>
      <c r="B2809" s="2"/>
      <c r="C2809" s="2"/>
      <c r="D2809" s="2"/>
      <c r="E2809" s="5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>
      <c r="A2810" s="4"/>
      <c r="B2810" s="2"/>
      <c r="C2810" s="2"/>
      <c r="D2810" s="2"/>
      <c r="E2810" s="5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>
      <c r="A2811" s="4"/>
      <c r="B2811" s="2"/>
      <c r="C2811" s="2"/>
      <c r="D2811" s="2"/>
      <c r="E2811" s="5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>
      <c r="A2812" s="4"/>
      <c r="B2812" s="2"/>
      <c r="C2812" s="2"/>
      <c r="D2812" s="2"/>
      <c r="E2812" s="5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>
      <c r="A2813" s="4"/>
      <c r="B2813" s="2"/>
      <c r="C2813" s="2"/>
      <c r="D2813" s="2"/>
      <c r="E2813" s="5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>
      <c r="A2814" s="4"/>
      <c r="B2814" s="2"/>
      <c r="C2814" s="2"/>
      <c r="D2814" s="2"/>
      <c r="E2814" s="5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>
      <c r="A2815" s="4"/>
      <c r="B2815" s="2"/>
      <c r="C2815" s="2"/>
      <c r="D2815" s="2"/>
      <c r="E2815" s="5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>
      <c r="A2816" s="4"/>
      <c r="B2816" s="2"/>
      <c r="C2816" s="2"/>
      <c r="D2816" s="2"/>
      <c r="E2816" s="5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>
      <c r="A2817" s="4"/>
      <c r="B2817" s="2"/>
      <c r="C2817" s="2"/>
      <c r="D2817" s="2"/>
      <c r="E2817" s="5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>
      <c r="A2818" s="4"/>
      <c r="B2818" s="2"/>
      <c r="C2818" s="2"/>
      <c r="D2818" s="2"/>
      <c r="E2818" s="5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>
      <c r="A2819" s="4"/>
      <c r="B2819" s="2"/>
      <c r="C2819" s="2"/>
      <c r="D2819" s="2"/>
      <c r="E2819" s="5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>
      <c r="A2820" s="4"/>
      <c r="B2820" s="2"/>
      <c r="C2820" s="2"/>
      <c r="D2820" s="2"/>
      <c r="E2820" s="5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>
      <c r="A2821" s="4"/>
      <c r="B2821" s="2"/>
      <c r="C2821" s="2"/>
      <c r="D2821" s="2"/>
      <c r="E2821" s="5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>
      <c r="A2822" s="4"/>
      <c r="B2822" s="2"/>
      <c r="C2822" s="2"/>
      <c r="D2822" s="2"/>
      <c r="E2822" s="5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>
      <c r="A2823" s="4"/>
      <c r="B2823" s="2"/>
      <c r="C2823" s="2"/>
      <c r="D2823" s="2"/>
      <c r="E2823" s="5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>
      <c r="A2824" s="4"/>
      <c r="B2824" s="2"/>
      <c r="C2824" s="2"/>
      <c r="D2824" s="2"/>
      <c r="E2824" s="5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>
      <c r="A2825" s="4"/>
      <c r="B2825" s="2"/>
      <c r="C2825" s="2"/>
      <c r="D2825" s="2"/>
      <c r="E2825" s="5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>
      <c r="A2826" s="4"/>
      <c r="B2826" s="2"/>
      <c r="C2826" s="2"/>
      <c r="D2826" s="2"/>
      <c r="E2826" s="5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>
      <c r="A2827" s="4"/>
      <c r="B2827" s="2"/>
      <c r="C2827" s="2"/>
      <c r="D2827" s="2"/>
      <c r="E2827" s="5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>
      <c r="A2828" s="4"/>
      <c r="B2828" s="2"/>
      <c r="C2828" s="2"/>
      <c r="D2828" s="2"/>
      <c r="E2828" s="5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>
      <c r="A2829" s="4"/>
      <c r="B2829" s="2"/>
      <c r="C2829" s="2"/>
      <c r="D2829" s="2"/>
      <c r="E2829" s="5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>
      <c r="A2830" s="4"/>
      <c r="B2830" s="2"/>
      <c r="C2830" s="2"/>
      <c r="D2830" s="2"/>
      <c r="E2830" s="5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>
      <c r="A2831" s="4"/>
      <c r="B2831" s="2"/>
      <c r="C2831" s="2"/>
      <c r="D2831" s="2"/>
      <c r="E2831" s="5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>
      <c r="A2832" s="4"/>
      <c r="B2832" s="2"/>
      <c r="C2832" s="2"/>
      <c r="D2832" s="2"/>
      <c r="E2832" s="5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>
      <c r="A2833" s="4"/>
      <c r="B2833" s="2"/>
      <c r="C2833" s="2"/>
      <c r="D2833" s="2"/>
      <c r="E2833" s="5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>
      <c r="A2834" s="4"/>
      <c r="B2834" s="2"/>
      <c r="C2834" s="2"/>
      <c r="D2834" s="2"/>
      <c r="E2834" s="5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>
      <c r="A2835" s="4"/>
      <c r="B2835" s="2"/>
      <c r="C2835" s="2"/>
      <c r="D2835" s="2"/>
      <c r="E2835" s="5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>
      <c r="A2836" s="4"/>
      <c r="B2836" s="2"/>
      <c r="C2836" s="2"/>
      <c r="D2836" s="2"/>
      <c r="E2836" s="5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>
      <c r="A2837" s="4"/>
      <c r="B2837" s="2"/>
      <c r="C2837" s="2"/>
      <c r="D2837" s="2"/>
      <c r="E2837" s="5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>
      <c r="A2838" s="4"/>
      <c r="B2838" s="2"/>
      <c r="C2838" s="2"/>
      <c r="D2838" s="2"/>
      <c r="E2838" s="5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>
      <c r="A2839" s="4"/>
      <c r="B2839" s="2"/>
      <c r="C2839" s="2"/>
      <c r="D2839" s="2"/>
      <c r="E2839" s="5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>
      <c r="A2840" s="4"/>
      <c r="B2840" s="2"/>
      <c r="C2840" s="2"/>
      <c r="D2840" s="2"/>
      <c r="E2840" s="5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>
      <c r="A2841" s="4"/>
      <c r="B2841" s="2"/>
      <c r="C2841" s="2"/>
      <c r="D2841" s="2"/>
      <c r="E2841" s="5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>
      <c r="A2842" s="4"/>
      <c r="B2842" s="2"/>
      <c r="C2842" s="2"/>
      <c r="D2842" s="2"/>
      <c r="E2842" s="5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>
      <c r="A2843" s="4"/>
      <c r="B2843" s="2"/>
      <c r="C2843" s="2"/>
      <c r="D2843" s="2"/>
      <c r="E2843" s="5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>
      <c r="A2844" s="4"/>
      <c r="B2844" s="2"/>
      <c r="C2844" s="2"/>
      <c r="D2844" s="2"/>
      <c r="E2844" s="5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>
      <c r="A2845" s="4"/>
      <c r="B2845" s="2"/>
      <c r="C2845" s="2"/>
      <c r="D2845" s="2"/>
      <c r="E2845" s="5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>
      <c r="A2846" s="4"/>
      <c r="B2846" s="2"/>
      <c r="C2846" s="2"/>
      <c r="D2846" s="2"/>
      <c r="E2846" s="5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>
      <c r="A2847" s="4"/>
      <c r="B2847" s="2"/>
      <c r="C2847" s="2"/>
      <c r="D2847" s="2"/>
      <c r="E2847" s="5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>
      <c r="A2848" s="4"/>
      <c r="B2848" s="2"/>
      <c r="C2848" s="2"/>
      <c r="D2848" s="2"/>
      <c r="E2848" s="5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>
      <c r="A2849" s="4"/>
      <c r="B2849" s="2"/>
      <c r="C2849" s="2"/>
      <c r="D2849" s="2"/>
      <c r="E2849" s="5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>
      <c r="A2850" s="4"/>
      <c r="B2850" s="2"/>
      <c r="C2850" s="2"/>
      <c r="D2850" s="2"/>
      <c r="E2850" s="5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>
      <c r="A2851" s="4"/>
      <c r="B2851" s="2"/>
      <c r="C2851" s="2"/>
      <c r="D2851" s="2"/>
      <c r="E2851" s="5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>
      <c r="A2852" s="4"/>
      <c r="B2852" s="2"/>
      <c r="C2852" s="2"/>
      <c r="D2852" s="2"/>
      <c r="E2852" s="5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>
      <c r="A2853" s="4"/>
      <c r="B2853" s="2"/>
      <c r="C2853" s="2"/>
      <c r="D2853" s="2"/>
      <c r="E2853" s="5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>
      <c r="A2854" s="4"/>
      <c r="B2854" s="2"/>
      <c r="C2854" s="2"/>
      <c r="D2854" s="2"/>
      <c r="E2854" s="5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>
      <c r="A2855" s="4"/>
      <c r="B2855" s="2"/>
      <c r="C2855" s="2"/>
      <c r="D2855" s="2"/>
      <c r="E2855" s="5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>
      <c r="A2856" s="4"/>
      <c r="B2856" s="2"/>
      <c r="C2856" s="2"/>
      <c r="D2856" s="2"/>
      <c r="E2856" s="5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>
      <c r="A2857" s="4"/>
      <c r="B2857" s="2"/>
      <c r="C2857" s="2"/>
      <c r="D2857" s="2"/>
      <c r="E2857" s="5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>
      <c r="A2858" s="4"/>
      <c r="B2858" s="2"/>
      <c r="C2858" s="2"/>
      <c r="D2858" s="2"/>
      <c r="E2858" s="5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>
      <c r="A2859" s="4"/>
      <c r="B2859" s="2"/>
      <c r="C2859" s="2"/>
      <c r="D2859" s="2"/>
      <c r="E2859" s="5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>
      <c r="A2860" s="4"/>
      <c r="B2860" s="2"/>
      <c r="C2860" s="2"/>
      <c r="D2860" s="2"/>
      <c r="E2860" s="5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>
      <c r="A2861" s="4"/>
      <c r="B2861" s="2"/>
      <c r="C2861" s="2"/>
      <c r="D2861" s="2"/>
      <c r="E2861" s="5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>
      <c r="A2862" s="4"/>
      <c r="B2862" s="2"/>
      <c r="C2862" s="2"/>
      <c r="D2862" s="2"/>
      <c r="E2862" s="5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>
      <c r="A2863" s="4"/>
      <c r="B2863" s="2"/>
      <c r="C2863" s="2"/>
      <c r="D2863" s="2"/>
      <c r="E2863" s="5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>
      <c r="A2864" s="4"/>
      <c r="B2864" s="2"/>
      <c r="C2864" s="2"/>
      <c r="D2864" s="2"/>
      <c r="E2864" s="5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>
      <c r="A2865" s="4"/>
      <c r="B2865" s="2"/>
      <c r="C2865" s="2"/>
      <c r="D2865" s="2"/>
      <c r="E2865" s="5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>
      <c r="A2866" s="4"/>
      <c r="B2866" s="2"/>
      <c r="C2866" s="2"/>
      <c r="D2866" s="2"/>
      <c r="E2866" s="5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>
      <c r="A2867" s="4"/>
      <c r="B2867" s="2"/>
      <c r="C2867" s="2"/>
      <c r="D2867" s="2"/>
      <c r="E2867" s="5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>
      <c r="A2868" s="4"/>
      <c r="B2868" s="2"/>
      <c r="C2868" s="2"/>
      <c r="D2868" s="2"/>
      <c r="E2868" s="5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>
      <c r="A2869" s="4"/>
      <c r="B2869" s="2"/>
      <c r="C2869" s="2"/>
      <c r="D2869" s="2"/>
      <c r="E2869" s="5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>
      <c r="A2870" s="4"/>
      <c r="B2870" s="2"/>
      <c r="C2870" s="2"/>
      <c r="D2870" s="2"/>
      <c r="E2870" s="5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>
      <c r="A2871" s="4"/>
      <c r="B2871" s="2"/>
      <c r="C2871" s="2"/>
      <c r="D2871" s="2"/>
      <c r="E2871" s="5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>
      <c r="A2872" s="4"/>
      <c r="B2872" s="2"/>
      <c r="C2872" s="2"/>
      <c r="D2872" s="2"/>
      <c r="E2872" s="5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>
      <c r="A2873" s="4"/>
      <c r="B2873" s="2"/>
      <c r="C2873" s="2"/>
      <c r="D2873" s="2"/>
      <c r="E2873" s="5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>
      <c r="A2874" s="4"/>
      <c r="B2874" s="2"/>
      <c r="C2874" s="2"/>
      <c r="D2874" s="2"/>
      <c r="E2874" s="5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>
      <c r="A2875" s="4"/>
      <c r="B2875" s="2"/>
      <c r="C2875" s="2"/>
      <c r="D2875" s="2"/>
      <c r="E2875" s="5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>
      <c r="A2876" s="4"/>
      <c r="B2876" s="2"/>
      <c r="C2876" s="2"/>
      <c r="D2876" s="2"/>
      <c r="E2876" s="5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>
      <c r="A2877" s="4"/>
      <c r="B2877" s="2"/>
      <c r="C2877" s="2"/>
      <c r="D2877" s="2"/>
      <c r="E2877" s="5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>
      <c r="A2878" s="4"/>
      <c r="B2878" s="2"/>
      <c r="C2878" s="2"/>
      <c r="D2878" s="2"/>
      <c r="E2878" s="5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>
      <c r="A2879" s="4"/>
      <c r="B2879" s="2"/>
      <c r="C2879" s="2"/>
      <c r="D2879" s="2"/>
      <c r="E2879" s="5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>
      <c r="A2880" s="4"/>
      <c r="B2880" s="2"/>
      <c r="C2880" s="2"/>
      <c r="D2880" s="2"/>
      <c r="E2880" s="5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>
      <c r="A2881" s="4"/>
      <c r="B2881" s="2"/>
      <c r="C2881" s="2"/>
      <c r="D2881" s="2"/>
      <c r="E2881" s="5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>
      <c r="A2882" s="4"/>
      <c r="B2882" s="2"/>
      <c r="C2882" s="2"/>
      <c r="D2882" s="2"/>
      <c r="E2882" s="5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>
      <c r="A2883" s="4"/>
      <c r="B2883" s="2"/>
      <c r="C2883" s="2"/>
      <c r="D2883" s="2"/>
      <c r="E2883" s="5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>
      <c r="A2884" s="4"/>
      <c r="B2884" s="2"/>
      <c r="C2884" s="2"/>
      <c r="D2884" s="2"/>
      <c r="E2884" s="5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>
      <c r="A2885" s="4"/>
      <c r="B2885" s="2"/>
      <c r="C2885" s="2"/>
      <c r="D2885" s="2"/>
      <c r="E2885" s="5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>
      <c r="A2886" s="4"/>
      <c r="B2886" s="2"/>
      <c r="C2886" s="2"/>
      <c r="D2886" s="2"/>
      <c r="E2886" s="5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>
      <c r="A2887" s="4"/>
      <c r="B2887" s="2"/>
      <c r="C2887" s="2"/>
      <c r="D2887" s="2"/>
      <c r="E2887" s="5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>
      <c r="A2888" s="4"/>
      <c r="B2888" s="2"/>
      <c r="C2888" s="2"/>
      <c r="D2888" s="2"/>
      <c r="E2888" s="5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>
      <c r="A2889" s="4"/>
      <c r="B2889" s="2"/>
      <c r="C2889" s="2"/>
      <c r="D2889" s="2"/>
      <c r="E2889" s="5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>
      <c r="A2890" s="4"/>
      <c r="B2890" s="2"/>
      <c r="C2890" s="2"/>
      <c r="D2890" s="2"/>
      <c r="E2890" s="5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>
      <c r="A2891" s="4"/>
      <c r="B2891" s="2"/>
      <c r="C2891" s="2"/>
      <c r="D2891" s="2"/>
      <c r="E2891" s="5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>
      <c r="A2892" s="4"/>
      <c r="B2892" s="2"/>
      <c r="C2892" s="2"/>
      <c r="D2892" s="2"/>
      <c r="E2892" s="5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>
      <c r="A2893" s="4"/>
      <c r="B2893" s="2"/>
      <c r="C2893" s="2"/>
      <c r="D2893" s="2"/>
      <c r="E2893" s="5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>
      <c r="A2894" s="4"/>
      <c r="B2894" s="2"/>
      <c r="C2894" s="2"/>
      <c r="D2894" s="2"/>
      <c r="E2894" s="5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>
      <c r="A2895" s="4"/>
      <c r="B2895" s="2"/>
      <c r="C2895" s="2"/>
      <c r="D2895" s="2"/>
      <c r="E2895" s="5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>
      <c r="A2896" s="4"/>
      <c r="B2896" s="2"/>
      <c r="C2896" s="2"/>
      <c r="D2896" s="2"/>
      <c r="E2896" s="5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>
      <c r="A2897" s="4"/>
      <c r="B2897" s="2"/>
      <c r="C2897" s="2"/>
      <c r="D2897" s="2"/>
      <c r="E2897" s="5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>
      <c r="A2898" s="4"/>
      <c r="B2898" s="2"/>
      <c r="C2898" s="2"/>
      <c r="D2898" s="2"/>
      <c r="E2898" s="5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>
      <c r="A2899" s="4"/>
      <c r="B2899" s="2"/>
      <c r="C2899" s="2"/>
      <c r="D2899" s="2"/>
      <c r="E2899" s="5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>
      <c r="A2900" s="4"/>
      <c r="B2900" s="2"/>
      <c r="C2900" s="2"/>
      <c r="D2900" s="2"/>
      <c r="E2900" s="5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>
      <c r="A2901" s="4"/>
      <c r="B2901" s="2"/>
      <c r="C2901" s="2"/>
      <c r="D2901" s="2"/>
      <c r="E2901" s="5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>
      <c r="A2902" s="4"/>
      <c r="B2902" s="2"/>
      <c r="C2902" s="2"/>
      <c r="D2902" s="2"/>
      <c r="E2902" s="5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>
      <c r="A2903" s="4"/>
      <c r="B2903" s="2"/>
      <c r="C2903" s="2"/>
      <c r="D2903" s="2"/>
      <c r="E2903" s="5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>
      <c r="A2904" s="4"/>
      <c r="B2904" s="2"/>
      <c r="C2904" s="2"/>
      <c r="D2904" s="2"/>
      <c r="E2904" s="5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>
      <c r="A2905" s="4"/>
      <c r="B2905" s="2"/>
      <c r="C2905" s="2"/>
      <c r="D2905" s="2"/>
      <c r="E2905" s="5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>
      <c r="A2906" s="4"/>
      <c r="B2906" s="2"/>
      <c r="C2906" s="2"/>
      <c r="D2906" s="2"/>
      <c r="E2906" s="5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>
      <c r="A2907" s="4"/>
      <c r="B2907" s="2"/>
      <c r="C2907" s="2"/>
      <c r="D2907" s="2"/>
      <c r="E2907" s="5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>
      <c r="A2908" s="4"/>
      <c r="B2908" s="2"/>
      <c r="C2908" s="2"/>
      <c r="D2908" s="2"/>
      <c r="E2908" s="5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>
      <c r="A2909" s="4"/>
      <c r="B2909" s="2"/>
      <c r="C2909" s="2"/>
      <c r="D2909" s="2"/>
      <c r="E2909" s="5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>
      <c r="A2910" s="4"/>
      <c r="B2910" s="2"/>
      <c r="C2910" s="2"/>
      <c r="D2910" s="2"/>
      <c r="E2910" s="5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>
      <c r="A2911" s="4"/>
      <c r="B2911" s="2"/>
      <c r="C2911" s="2"/>
      <c r="D2911" s="2"/>
      <c r="E2911" s="5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>
      <c r="A2912" s="4"/>
      <c r="B2912" s="2"/>
      <c r="C2912" s="2"/>
      <c r="D2912" s="2"/>
      <c r="E2912" s="5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>
      <c r="A2913" s="4"/>
      <c r="B2913" s="2"/>
      <c r="C2913" s="2"/>
      <c r="D2913" s="2"/>
      <c r="E2913" s="5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>
      <c r="A2914" s="4"/>
      <c r="B2914" s="2"/>
      <c r="C2914" s="2"/>
      <c r="D2914" s="2"/>
      <c r="E2914" s="5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>
      <c r="A2915" s="4"/>
      <c r="B2915" s="2"/>
      <c r="C2915" s="2"/>
      <c r="D2915" s="2"/>
      <c r="E2915" s="5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>
      <c r="A2916" s="4"/>
      <c r="B2916" s="2"/>
      <c r="C2916" s="2"/>
      <c r="D2916" s="2"/>
      <c r="E2916" s="5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>
      <c r="A2917" s="4"/>
      <c r="B2917" s="2"/>
      <c r="C2917" s="2"/>
      <c r="D2917" s="2"/>
      <c r="E2917" s="5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>
      <c r="A2918" s="4"/>
      <c r="B2918" s="2"/>
      <c r="C2918" s="2"/>
      <c r="D2918" s="2"/>
      <c r="E2918" s="5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>
      <c r="A2919" s="4"/>
      <c r="B2919" s="2"/>
      <c r="C2919" s="2"/>
      <c r="D2919" s="2"/>
      <c r="E2919" s="5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>
      <c r="A2920" s="4"/>
      <c r="B2920" s="2"/>
      <c r="C2920" s="2"/>
      <c r="D2920" s="2"/>
      <c r="E2920" s="5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>
      <c r="A2921" s="4"/>
      <c r="B2921" s="2"/>
      <c r="C2921" s="2"/>
      <c r="D2921" s="2"/>
      <c r="E2921" s="5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>
      <c r="A2922" s="4"/>
      <c r="B2922" s="2"/>
      <c r="C2922" s="2"/>
      <c r="D2922" s="2"/>
      <c r="E2922" s="5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>
      <c r="A2923" s="4"/>
      <c r="B2923" s="2"/>
      <c r="C2923" s="2"/>
      <c r="D2923" s="2"/>
      <c r="E2923" s="5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>
      <c r="A2924" s="4"/>
      <c r="B2924" s="2"/>
      <c r="C2924" s="2"/>
      <c r="D2924" s="2"/>
      <c r="E2924" s="5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>
      <c r="A2925" s="4"/>
      <c r="B2925" s="2"/>
      <c r="C2925" s="2"/>
      <c r="D2925" s="2"/>
      <c r="E2925" s="5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>
      <c r="A2926" s="4"/>
      <c r="B2926" s="2"/>
      <c r="C2926" s="2"/>
      <c r="D2926" s="2"/>
      <c r="E2926" s="5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>
      <c r="A2927" s="4"/>
      <c r="B2927" s="2"/>
      <c r="C2927" s="2"/>
      <c r="D2927" s="2"/>
      <c r="E2927" s="5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>
      <c r="A2928" s="4"/>
      <c r="B2928" s="2"/>
      <c r="C2928" s="2"/>
      <c r="D2928" s="2"/>
      <c r="E2928" s="5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>
      <c r="A2929" s="4"/>
      <c r="B2929" s="2"/>
      <c r="C2929" s="2"/>
      <c r="D2929" s="2"/>
      <c r="E2929" s="5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>
      <c r="A2930" s="4"/>
      <c r="B2930" s="2"/>
      <c r="C2930" s="2"/>
      <c r="D2930" s="2"/>
      <c r="E2930" s="5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>
      <c r="A2931" s="4"/>
      <c r="B2931" s="2"/>
      <c r="C2931" s="2"/>
      <c r="D2931" s="2"/>
      <c r="E2931" s="5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>
      <c r="A2932" s="4"/>
      <c r="B2932" s="2"/>
      <c r="C2932" s="2"/>
      <c r="D2932" s="2"/>
      <c r="E2932" s="5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>
      <c r="A2933" s="4"/>
      <c r="B2933" s="2"/>
      <c r="C2933" s="2"/>
      <c r="D2933" s="2"/>
      <c r="E2933" s="5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>
      <c r="A2934" s="4"/>
      <c r="B2934" s="2"/>
      <c r="C2934" s="2"/>
      <c r="D2934" s="2"/>
      <c r="E2934" s="5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>
      <c r="A2935" s="4"/>
      <c r="B2935" s="2"/>
      <c r="C2935" s="2"/>
      <c r="D2935" s="2"/>
      <c r="E2935" s="5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>
      <c r="A2936" s="4"/>
      <c r="B2936" s="2"/>
      <c r="C2936" s="2"/>
      <c r="D2936" s="2"/>
      <c r="E2936" s="5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>
      <c r="A2937" s="4"/>
      <c r="B2937" s="2"/>
      <c r="C2937" s="2"/>
      <c r="D2937" s="2"/>
      <c r="E2937" s="5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>
      <c r="A2938" s="4"/>
      <c r="B2938" s="2"/>
      <c r="C2938" s="2"/>
      <c r="D2938" s="2"/>
      <c r="E2938" s="5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>
      <c r="A2939" s="4"/>
      <c r="B2939" s="2"/>
      <c r="C2939" s="2"/>
      <c r="D2939" s="2"/>
      <c r="E2939" s="5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>
      <c r="A2940" s="4"/>
      <c r="B2940" s="2"/>
      <c r="C2940" s="2"/>
      <c r="D2940" s="2"/>
      <c r="E2940" s="5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>
      <c r="A2941" s="4"/>
      <c r="B2941" s="2"/>
      <c r="C2941" s="2"/>
      <c r="D2941" s="2"/>
      <c r="E2941" s="5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>
      <c r="A2942" s="4"/>
      <c r="B2942" s="2"/>
      <c r="C2942" s="2"/>
      <c r="D2942" s="2"/>
      <c r="E2942" s="5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>
      <c r="A2943" s="4"/>
      <c r="B2943" s="2"/>
      <c r="C2943" s="2"/>
      <c r="D2943" s="2"/>
      <c r="E2943" s="5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>
      <c r="A2944" s="4"/>
      <c r="B2944" s="2"/>
      <c r="C2944" s="2"/>
      <c r="D2944" s="2"/>
      <c r="E2944" s="5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>
      <c r="A2945" s="4"/>
      <c r="B2945" s="2"/>
      <c r="C2945" s="2"/>
      <c r="D2945" s="2"/>
      <c r="E2945" s="5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>
      <c r="A2946" s="4"/>
      <c r="B2946" s="2"/>
      <c r="C2946" s="2"/>
      <c r="D2946" s="2"/>
      <c r="E2946" s="5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>
      <c r="A2947" s="4"/>
      <c r="B2947" s="2"/>
      <c r="C2947" s="2"/>
      <c r="D2947" s="2"/>
      <c r="E2947" s="5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>
      <c r="A2948" s="4"/>
      <c r="B2948" s="2"/>
      <c r="C2948" s="2"/>
      <c r="D2948" s="2"/>
      <c r="E2948" s="5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>
      <c r="A2949" s="4"/>
      <c r="B2949" s="2"/>
      <c r="C2949" s="2"/>
      <c r="D2949" s="2"/>
      <c r="E2949" s="5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>
      <c r="A2950" s="4"/>
      <c r="B2950" s="2"/>
      <c r="C2950" s="2"/>
      <c r="D2950" s="2"/>
      <c r="E2950" s="5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>
      <c r="A2951" s="4"/>
      <c r="B2951" s="2"/>
      <c r="C2951" s="2"/>
      <c r="D2951" s="2"/>
      <c r="E2951" s="5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>
      <c r="A2952" s="4"/>
      <c r="B2952" s="2"/>
      <c r="C2952" s="2"/>
      <c r="D2952" s="2"/>
      <c r="E2952" s="5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>
      <c r="A2953" s="4"/>
      <c r="B2953" s="2"/>
      <c r="C2953" s="2"/>
      <c r="D2953" s="2"/>
      <c r="E2953" s="5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>
      <c r="A2954" s="4"/>
      <c r="B2954" s="2"/>
      <c r="C2954" s="2"/>
      <c r="D2954" s="2"/>
      <c r="E2954" s="5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>
      <c r="A2955" s="4"/>
      <c r="B2955" s="2"/>
      <c r="C2955" s="2"/>
      <c r="D2955" s="2"/>
      <c r="E2955" s="5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>
      <c r="A2956" s="4"/>
      <c r="B2956" s="2"/>
      <c r="C2956" s="2"/>
      <c r="D2956" s="2"/>
      <c r="E2956" s="5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>
      <c r="A2957" s="4"/>
      <c r="B2957" s="2"/>
      <c r="C2957" s="2"/>
      <c r="D2957" s="2"/>
      <c r="E2957" s="5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>
      <c r="A2958" s="4"/>
      <c r="B2958" s="2"/>
      <c r="C2958" s="2"/>
      <c r="D2958" s="2"/>
      <c r="E2958" s="5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>
      <c r="A2959" s="4"/>
      <c r="B2959" s="2"/>
      <c r="C2959" s="2"/>
      <c r="D2959" s="2"/>
      <c r="E2959" s="5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>
      <c r="A2960" s="4"/>
      <c r="B2960" s="2"/>
      <c r="C2960" s="2"/>
      <c r="D2960" s="2"/>
      <c r="E2960" s="5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>
      <c r="A2961" s="4"/>
      <c r="B2961" s="2"/>
      <c r="C2961" s="2"/>
      <c r="D2961" s="2"/>
      <c r="E2961" s="5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>
      <c r="A2962" s="4"/>
      <c r="B2962" s="2"/>
      <c r="C2962" s="2"/>
      <c r="D2962" s="2"/>
      <c r="E2962" s="5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>
      <c r="A2963" s="4"/>
      <c r="B2963" s="2"/>
      <c r="C2963" s="2"/>
      <c r="D2963" s="2"/>
      <c r="E2963" s="5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>
      <c r="A2964" s="4"/>
      <c r="B2964" s="2"/>
      <c r="C2964" s="2"/>
      <c r="D2964" s="2"/>
      <c r="E2964" s="5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>
      <c r="A2965" s="4"/>
      <c r="B2965" s="2"/>
      <c r="C2965" s="2"/>
      <c r="D2965" s="2"/>
      <c r="E2965" s="5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>
      <c r="A2966" s="4"/>
      <c r="B2966" s="2"/>
      <c r="C2966" s="2"/>
      <c r="D2966" s="2"/>
      <c r="E2966" s="5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>
      <c r="A2967" s="4"/>
      <c r="B2967" s="2"/>
      <c r="C2967" s="2"/>
      <c r="D2967" s="2"/>
      <c r="E2967" s="5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>
      <c r="A2968" s="4"/>
      <c r="B2968" s="2"/>
      <c r="C2968" s="2"/>
      <c r="D2968" s="2"/>
      <c r="E2968" s="5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>
      <c r="A2969" s="4"/>
      <c r="B2969" s="2"/>
      <c r="C2969" s="2"/>
      <c r="D2969" s="2"/>
      <c r="E2969" s="5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>
      <c r="A2970" s="4"/>
      <c r="B2970" s="2"/>
      <c r="C2970" s="2"/>
      <c r="D2970" s="2"/>
      <c r="E2970" s="5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>
      <c r="A2971" s="4"/>
      <c r="B2971" s="2"/>
      <c r="C2971" s="2"/>
      <c r="D2971" s="2"/>
      <c r="E2971" s="5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>
      <c r="A2972" s="4"/>
      <c r="B2972" s="2"/>
      <c r="C2972" s="2"/>
      <c r="D2972" s="2"/>
      <c r="E2972" s="5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>
      <c r="A2973" s="4"/>
      <c r="B2973" s="2"/>
      <c r="C2973" s="2"/>
      <c r="D2973" s="2"/>
      <c r="E2973" s="5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>
      <c r="A2974" s="4"/>
      <c r="B2974" s="2"/>
      <c r="C2974" s="2"/>
      <c r="D2974" s="2"/>
      <c r="E2974" s="5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>
      <c r="A2975" s="4"/>
      <c r="B2975" s="2"/>
      <c r="C2975" s="2"/>
      <c r="D2975" s="2"/>
      <c r="E2975" s="5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>
      <c r="A2976" s="4"/>
      <c r="B2976" s="2"/>
      <c r="C2976" s="2"/>
      <c r="D2976" s="2"/>
      <c r="E2976" s="5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>
      <c r="A2977" s="4"/>
      <c r="B2977" s="2"/>
      <c r="C2977" s="2"/>
      <c r="D2977" s="2"/>
      <c r="E2977" s="5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>
      <c r="A2978" s="4"/>
      <c r="B2978" s="2"/>
      <c r="C2978" s="2"/>
      <c r="D2978" s="2"/>
      <c r="E2978" s="5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>
      <c r="A2979" s="4"/>
      <c r="B2979" s="2"/>
      <c r="C2979" s="2"/>
      <c r="D2979" s="2"/>
      <c r="E2979" s="5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>
      <c r="A2980" s="4"/>
      <c r="B2980" s="2"/>
      <c r="C2980" s="2"/>
      <c r="D2980" s="2"/>
      <c r="E2980" s="5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>
      <c r="A2981" s="4"/>
      <c r="B2981" s="2"/>
      <c r="C2981" s="2"/>
      <c r="D2981" s="2"/>
      <c r="E2981" s="5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>
      <c r="A2982" s="4"/>
      <c r="B2982" s="2"/>
      <c r="C2982" s="2"/>
      <c r="D2982" s="2"/>
      <c r="E2982" s="5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>
      <c r="A2983" s="4"/>
      <c r="B2983" s="2"/>
      <c r="C2983" s="2"/>
      <c r="D2983" s="2"/>
      <c r="E2983" s="5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>
      <c r="A2984" s="4"/>
      <c r="B2984" s="2"/>
      <c r="C2984" s="2"/>
      <c r="D2984" s="2"/>
      <c r="E2984" s="5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>
      <c r="A2985" s="4"/>
      <c r="B2985" s="2"/>
      <c r="C2985" s="2"/>
      <c r="D2985" s="2"/>
      <c r="E2985" s="5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>
      <c r="A2986" s="4"/>
      <c r="B2986" s="2"/>
      <c r="C2986" s="2"/>
      <c r="D2986" s="2"/>
      <c r="E2986" s="5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>
      <c r="A2987" s="4"/>
      <c r="B2987" s="2"/>
      <c r="C2987" s="2"/>
      <c r="D2987" s="2"/>
      <c r="E2987" s="5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>
      <c r="A2988" s="4"/>
      <c r="B2988" s="2"/>
      <c r="C2988" s="2"/>
      <c r="D2988" s="2"/>
      <c r="E2988" s="5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>
      <c r="A2989" s="4"/>
      <c r="B2989" s="2"/>
      <c r="C2989" s="2"/>
      <c r="D2989" s="2"/>
      <c r="E2989" s="5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>
      <c r="A2990" s="4"/>
      <c r="B2990" s="2"/>
      <c r="C2990" s="2"/>
      <c r="D2990" s="2"/>
      <c r="E2990" s="5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>
      <c r="A2991" s="4"/>
      <c r="B2991" s="2"/>
      <c r="C2991" s="2"/>
      <c r="D2991" s="2"/>
      <c r="E2991" s="5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>
      <c r="A2992" s="4"/>
      <c r="B2992" s="2"/>
      <c r="C2992" s="2"/>
      <c r="D2992" s="2"/>
      <c r="E2992" s="5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>
      <c r="A2993" s="4"/>
      <c r="B2993" s="2"/>
      <c r="C2993" s="2"/>
      <c r="D2993" s="2"/>
      <c r="E2993" s="5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>
      <c r="A2994" s="4"/>
      <c r="B2994" s="2"/>
      <c r="C2994" s="2"/>
      <c r="D2994" s="2"/>
      <c r="E2994" s="5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>
      <c r="A2995" s="4"/>
      <c r="B2995" s="2"/>
      <c r="C2995" s="2"/>
      <c r="D2995" s="2"/>
      <c r="E2995" s="5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>
      <c r="A2996" s="4"/>
      <c r="B2996" s="2"/>
      <c r="C2996" s="2"/>
      <c r="D2996" s="2"/>
      <c r="E2996" s="5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>
      <c r="A2997" s="4"/>
      <c r="B2997" s="2"/>
      <c r="C2997" s="2"/>
      <c r="D2997" s="2"/>
      <c r="E2997" s="5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>
      <c r="A2998" s="4"/>
      <c r="B2998" s="2"/>
      <c r="C2998" s="2"/>
      <c r="D2998" s="2"/>
      <c r="E2998" s="5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>
      <c r="A2999" s="4"/>
      <c r="B2999" s="2"/>
      <c r="C2999" s="2"/>
      <c r="D2999" s="2"/>
      <c r="E2999" s="5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>
      <c r="A3000" s="4"/>
      <c r="B3000" s="2"/>
      <c r="C3000" s="2"/>
      <c r="D3000" s="2"/>
      <c r="E3000" s="5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>
      <c r="A3001" s="4"/>
      <c r="B3001" s="2"/>
      <c r="C3001" s="2"/>
      <c r="D3001" s="2"/>
      <c r="E3001" s="5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>
      <c r="A3002" s="4"/>
      <c r="B3002" s="2"/>
      <c r="C3002" s="2"/>
      <c r="D3002" s="2"/>
      <c r="E3002" s="5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>
      <c r="A3003" s="4"/>
      <c r="B3003" s="2"/>
      <c r="C3003" s="2"/>
      <c r="D3003" s="2"/>
      <c r="E3003" s="5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>
      <c r="A3004" s="4"/>
      <c r="B3004" s="2"/>
      <c r="C3004" s="2"/>
      <c r="D3004" s="2"/>
      <c r="E3004" s="5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>
      <c r="A3005" s="4"/>
      <c r="B3005" s="2"/>
      <c r="C3005" s="2"/>
      <c r="D3005" s="2"/>
      <c r="E3005" s="5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>
      <c r="A3006" s="4"/>
      <c r="B3006" s="2"/>
      <c r="C3006" s="2"/>
      <c r="D3006" s="2"/>
      <c r="E3006" s="5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>
      <c r="A3007" s="4"/>
      <c r="B3007" s="2"/>
      <c r="C3007" s="2"/>
      <c r="D3007" s="2"/>
      <c r="E3007" s="5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>
      <c r="A3008" s="4"/>
      <c r="B3008" s="2"/>
      <c r="C3008" s="2"/>
      <c r="D3008" s="2"/>
      <c r="E3008" s="5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>
      <c r="A3009" s="4"/>
      <c r="B3009" s="2"/>
      <c r="C3009" s="2"/>
      <c r="D3009" s="2"/>
      <c r="E3009" s="5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>
      <c r="A3010" s="4"/>
      <c r="B3010" s="2"/>
      <c r="C3010" s="2"/>
      <c r="D3010" s="2"/>
      <c r="E3010" s="5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>
      <c r="A3011" s="4"/>
      <c r="B3011" s="2"/>
      <c r="C3011" s="2"/>
      <c r="D3011" s="2"/>
      <c r="E3011" s="5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>
      <c r="A3012" s="4"/>
      <c r="B3012" s="2"/>
      <c r="C3012" s="2"/>
      <c r="D3012" s="2"/>
      <c r="E3012" s="5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>
      <c r="A3013" s="4"/>
      <c r="B3013" s="2"/>
      <c r="C3013" s="2"/>
      <c r="D3013" s="2"/>
      <c r="E3013" s="5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>
      <c r="A3014" s="4"/>
      <c r="B3014" s="2"/>
      <c r="C3014" s="2"/>
      <c r="D3014" s="2"/>
      <c r="E3014" s="5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>
      <c r="A3015" s="4"/>
      <c r="B3015" s="2"/>
      <c r="C3015" s="2"/>
      <c r="D3015" s="2"/>
      <c r="E3015" s="5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>
      <c r="A3016" s="4"/>
      <c r="B3016" s="2"/>
      <c r="C3016" s="2"/>
      <c r="D3016" s="2"/>
      <c r="E3016" s="5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>
      <c r="A3017" s="4"/>
      <c r="B3017" s="2"/>
      <c r="C3017" s="2"/>
      <c r="D3017" s="2"/>
      <c r="E3017" s="5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>
      <c r="A3018" s="4"/>
      <c r="B3018" s="2"/>
      <c r="C3018" s="2"/>
      <c r="D3018" s="2"/>
      <c r="E3018" s="5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>
      <c r="A3019" s="4"/>
      <c r="B3019" s="2"/>
      <c r="C3019" s="2"/>
      <c r="D3019" s="2"/>
      <c r="E3019" s="5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>
      <c r="A3020" s="4"/>
      <c r="B3020" s="2"/>
      <c r="C3020" s="2"/>
      <c r="D3020" s="2"/>
      <c r="E3020" s="5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>
      <c r="A3021" s="4"/>
      <c r="B3021" s="2"/>
      <c r="C3021" s="2"/>
      <c r="D3021" s="2"/>
      <c r="E3021" s="5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>
      <c r="A3022" s="4"/>
      <c r="B3022" s="2"/>
      <c r="C3022" s="2"/>
      <c r="D3022" s="2"/>
      <c r="E3022" s="5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>
      <c r="A3023" s="4"/>
      <c r="B3023" s="2"/>
      <c r="C3023" s="2"/>
      <c r="D3023" s="2"/>
      <c r="E3023" s="5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>
      <c r="A3024" s="4"/>
      <c r="B3024" s="2"/>
      <c r="C3024" s="2"/>
      <c r="D3024" s="2"/>
      <c r="E3024" s="5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>
      <c r="A3025" s="4"/>
      <c r="B3025" s="2"/>
      <c r="C3025" s="2"/>
      <c r="D3025" s="2"/>
      <c r="E3025" s="5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>
      <c r="A3026" s="4"/>
      <c r="B3026" s="2"/>
      <c r="C3026" s="2"/>
      <c r="D3026" s="2"/>
      <c r="E3026" s="5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>
      <c r="A3027" s="4"/>
      <c r="B3027" s="2"/>
      <c r="C3027" s="2"/>
      <c r="D3027" s="2"/>
      <c r="E3027" s="5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>
      <c r="A3028" s="4"/>
      <c r="B3028" s="2"/>
      <c r="C3028" s="2"/>
      <c r="D3028" s="2"/>
      <c r="E3028" s="5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>
      <c r="A3029" s="4"/>
      <c r="B3029" s="2"/>
      <c r="C3029" s="2"/>
      <c r="D3029" s="2"/>
      <c r="E3029" s="5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>
      <c r="A3030" s="4"/>
      <c r="B3030" s="2"/>
      <c r="C3030" s="2"/>
      <c r="D3030" s="2"/>
      <c r="E3030" s="5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>
      <c r="A3031" s="4"/>
      <c r="B3031" s="2"/>
      <c r="C3031" s="2"/>
      <c r="D3031" s="2"/>
      <c r="E3031" s="5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>
      <c r="A3032" s="4"/>
      <c r="B3032" s="2"/>
      <c r="C3032" s="2"/>
      <c r="D3032" s="2"/>
      <c r="E3032" s="5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>
      <c r="A3033" s="4"/>
      <c r="B3033" s="2"/>
      <c r="C3033" s="2"/>
      <c r="D3033" s="2"/>
      <c r="E3033" s="5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>
      <c r="A3034" s="4"/>
      <c r="B3034" s="2"/>
      <c r="C3034" s="2"/>
      <c r="D3034" s="2"/>
      <c r="E3034" s="5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>
      <c r="A3035" s="4"/>
      <c r="B3035" s="2"/>
      <c r="C3035" s="2"/>
      <c r="D3035" s="2"/>
      <c r="E3035" s="5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>
      <c r="A3036" s="4"/>
      <c r="B3036" s="2"/>
      <c r="C3036" s="2"/>
      <c r="D3036" s="2"/>
      <c r="E3036" s="5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>
      <c r="A3037" s="4"/>
      <c r="B3037" s="2"/>
      <c r="C3037" s="2"/>
      <c r="D3037" s="2"/>
      <c r="E3037" s="5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>
      <c r="A3038" s="4"/>
      <c r="B3038" s="2"/>
      <c r="C3038" s="2"/>
      <c r="D3038" s="2"/>
      <c r="E3038" s="5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>
      <c r="A3039" s="4"/>
      <c r="B3039" s="2"/>
      <c r="C3039" s="2"/>
      <c r="D3039" s="2"/>
      <c r="E3039" s="5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>
      <c r="A3040" s="4"/>
      <c r="B3040" s="2"/>
      <c r="C3040" s="2"/>
      <c r="D3040" s="2"/>
      <c r="E3040" s="5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>
      <c r="A3041" s="4"/>
      <c r="B3041" s="2"/>
      <c r="C3041" s="2"/>
      <c r="D3041" s="2"/>
      <c r="E3041" s="5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>
      <c r="A3042" s="4"/>
      <c r="B3042" s="2"/>
      <c r="C3042" s="2"/>
      <c r="D3042" s="2"/>
      <c r="E3042" s="5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>
      <c r="A3043" s="4"/>
      <c r="B3043" s="2"/>
      <c r="C3043" s="2"/>
      <c r="D3043" s="2"/>
      <c r="E3043" s="5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>
      <c r="A3044" s="4"/>
      <c r="B3044" s="2"/>
      <c r="C3044" s="2"/>
      <c r="D3044" s="2"/>
      <c r="E3044" s="5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>
      <c r="A3045" s="4"/>
      <c r="B3045" s="2"/>
      <c r="C3045" s="2"/>
      <c r="D3045" s="2"/>
      <c r="E3045" s="5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>
      <c r="A3046" s="4"/>
      <c r="B3046" s="2"/>
      <c r="C3046" s="2"/>
      <c r="D3046" s="2"/>
      <c r="E3046" s="5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>
      <c r="A3047" s="4"/>
      <c r="B3047" s="2"/>
      <c r="C3047" s="2"/>
      <c r="D3047" s="2"/>
      <c r="E3047" s="5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>
      <c r="A3048" s="4"/>
      <c r="B3048" s="2"/>
      <c r="C3048" s="2"/>
      <c r="D3048" s="2"/>
      <c r="E3048" s="5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>
      <c r="A3049" s="4"/>
      <c r="B3049" s="2"/>
      <c r="C3049" s="2"/>
      <c r="D3049" s="2"/>
      <c r="E3049" s="5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>
      <c r="A3050" s="4"/>
      <c r="B3050" s="2"/>
      <c r="C3050" s="2"/>
      <c r="D3050" s="2"/>
      <c r="E3050" s="5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>
      <c r="A3051" s="4"/>
      <c r="B3051" s="2"/>
      <c r="C3051" s="2"/>
      <c r="D3051" s="2"/>
      <c r="E3051" s="5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>
      <c r="A3052" s="4"/>
      <c r="B3052" s="2"/>
      <c r="C3052" s="2"/>
      <c r="D3052" s="2"/>
      <c r="E3052" s="5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>
      <c r="A3053" s="4"/>
      <c r="B3053" s="2"/>
      <c r="C3053" s="2"/>
      <c r="D3053" s="2"/>
      <c r="E3053" s="5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>
      <c r="A3054" s="4"/>
      <c r="B3054" s="2"/>
      <c r="C3054" s="2"/>
      <c r="D3054" s="2"/>
      <c r="E3054" s="5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>
      <c r="A3055" s="4"/>
      <c r="B3055" s="2"/>
      <c r="C3055" s="2"/>
      <c r="D3055" s="2"/>
      <c r="E3055" s="5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>
      <c r="A3056" s="4"/>
      <c r="B3056" s="2"/>
      <c r="C3056" s="2"/>
      <c r="D3056" s="2"/>
      <c r="E3056" s="5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>
      <c r="A3057" s="4"/>
      <c r="B3057" s="2"/>
      <c r="C3057" s="2"/>
      <c r="D3057" s="2"/>
      <c r="E3057" s="5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>
      <c r="A3058" s="4"/>
      <c r="B3058" s="2"/>
      <c r="C3058" s="2"/>
      <c r="D3058" s="2"/>
      <c r="E3058" s="5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>
      <c r="A3059" s="4"/>
      <c r="B3059" s="2"/>
      <c r="C3059" s="2"/>
      <c r="D3059" s="2"/>
      <c r="E3059" s="5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>
      <c r="A3060" s="4"/>
      <c r="B3060" s="2"/>
      <c r="C3060" s="2"/>
      <c r="D3060" s="2"/>
      <c r="E3060" s="5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>
      <c r="A3061" s="4"/>
      <c r="B3061" s="2"/>
      <c r="C3061" s="2"/>
      <c r="D3061" s="2"/>
      <c r="E3061" s="5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>
      <c r="A3062" s="4"/>
      <c r="B3062" s="2"/>
      <c r="C3062" s="2"/>
      <c r="D3062" s="2"/>
      <c r="E3062" s="5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>
      <c r="A3063" s="4"/>
      <c r="B3063" s="2"/>
      <c r="C3063" s="2"/>
      <c r="D3063" s="2"/>
      <c r="E3063" s="5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>
      <c r="A3064" s="4"/>
      <c r="B3064" s="2"/>
      <c r="C3064" s="2"/>
      <c r="D3064" s="2"/>
      <c r="E3064" s="5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>
      <c r="A3065" s="4"/>
      <c r="B3065" s="2"/>
      <c r="C3065" s="2"/>
      <c r="D3065" s="2"/>
      <c r="E3065" s="5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>
      <c r="A3066" s="4"/>
      <c r="B3066" s="2"/>
      <c r="C3066" s="2"/>
      <c r="D3066" s="2"/>
      <c r="E3066" s="5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>
      <c r="A3067" s="4"/>
      <c r="B3067" s="2"/>
      <c r="C3067" s="2"/>
      <c r="D3067" s="2"/>
      <c r="E3067" s="5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>
      <c r="A3068" s="4"/>
      <c r="B3068" s="2"/>
      <c r="C3068" s="2"/>
      <c r="D3068" s="2"/>
      <c r="E3068" s="5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>
      <c r="A3069" s="4"/>
      <c r="B3069" s="2"/>
      <c r="C3069" s="2"/>
      <c r="D3069" s="2"/>
      <c r="E3069" s="5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>
      <c r="A3070" s="4"/>
      <c r="B3070" s="2"/>
      <c r="C3070" s="2"/>
      <c r="D3070" s="2"/>
      <c r="E3070" s="5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>
      <c r="A3071" s="4"/>
      <c r="B3071" s="2"/>
      <c r="C3071" s="2"/>
      <c r="D3071" s="2"/>
      <c r="E3071" s="5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>
      <c r="A3072" s="4"/>
      <c r="B3072" s="2"/>
      <c r="C3072" s="2"/>
      <c r="D3072" s="2"/>
      <c r="E3072" s="5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>
      <c r="A3073" s="4"/>
      <c r="B3073" s="2"/>
      <c r="C3073" s="2"/>
      <c r="D3073" s="2"/>
      <c r="E3073" s="5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>
      <c r="A3074" s="4"/>
      <c r="B3074" s="2"/>
      <c r="C3074" s="2"/>
      <c r="D3074" s="2"/>
      <c r="E3074" s="5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>
      <c r="A3075" s="4"/>
      <c r="B3075" s="2"/>
      <c r="C3075" s="2"/>
      <c r="D3075" s="2"/>
      <c r="E3075" s="5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>
      <c r="A3076" s="4"/>
      <c r="B3076" s="2"/>
      <c r="C3076" s="2"/>
      <c r="D3076" s="2"/>
      <c r="E3076" s="5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>
      <c r="A3077" s="4"/>
      <c r="B3077" s="2"/>
      <c r="C3077" s="2"/>
      <c r="D3077" s="2"/>
      <c r="E3077" s="5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>
      <c r="A3078" s="4"/>
      <c r="B3078" s="2"/>
      <c r="C3078" s="2"/>
      <c r="D3078" s="2"/>
      <c r="E3078" s="5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>
      <c r="A3079" s="4"/>
      <c r="B3079" s="2"/>
      <c r="C3079" s="2"/>
      <c r="D3079" s="2"/>
      <c r="E3079" s="5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>
      <c r="A3080" s="4"/>
      <c r="B3080" s="2"/>
      <c r="C3080" s="2"/>
      <c r="D3080" s="2"/>
      <c r="E3080" s="5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>
      <c r="A3081" s="4"/>
      <c r="B3081" s="2"/>
      <c r="C3081" s="2"/>
      <c r="D3081" s="2"/>
      <c r="E3081" s="5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>
      <c r="A3082" s="4"/>
      <c r="B3082" s="2"/>
      <c r="C3082" s="2"/>
      <c r="D3082" s="2"/>
      <c r="E3082" s="5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>
      <c r="A3083" s="4"/>
      <c r="B3083" s="2"/>
      <c r="C3083" s="2"/>
      <c r="D3083" s="2"/>
      <c r="E3083" s="5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>
      <c r="A3084" s="4"/>
      <c r="B3084" s="2"/>
      <c r="C3084" s="2"/>
      <c r="D3084" s="2"/>
      <c r="E3084" s="5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>
      <c r="A3085" s="4"/>
      <c r="B3085" s="2"/>
      <c r="C3085" s="2"/>
      <c r="D3085" s="2"/>
      <c r="E3085" s="5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>
      <c r="A3086" s="4"/>
      <c r="B3086" s="2"/>
      <c r="C3086" s="2"/>
      <c r="D3086" s="2"/>
      <c r="E3086" s="5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>
      <c r="A3087" s="4"/>
      <c r="B3087" s="2"/>
      <c r="C3087" s="2"/>
      <c r="D3087" s="2"/>
      <c r="E3087" s="5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>
      <c r="A3088" s="4"/>
      <c r="B3088" s="2"/>
      <c r="C3088" s="2"/>
      <c r="D3088" s="2"/>
      <c r="E3088" s="5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>
      <c r="A3089" s="4"/>
      <c r="B3089" s="2"/>
      <c r="C3089" s="2"/>
      <c r="D3089" s="2"/>
      <c r="E3089" s="5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>
      <c r="A3090" s="4"/>
      <c r="B3090" s="2"/>
      <c r="C3090" s="2"/>
      <c r="D3090" s="2"/>
      <c r="E3090" s="5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>
      <c r="A3091" s="4"/>
      <c r="B3091" s="2"/>
      <c r="C3091" s="2"/>
      <c r="D3091" s="2"/>
      <c r="E3091" s="5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>
      <c r="A3092" s="4"/>
      <c r="B3092" s="2"/>
      <c r="C3092" s="2"/>
      <c r="D3092" s="2"/>
      <c r="E3092" s="5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>
      <c r="A3093" s="4"/>
      <c r="B3093" s="2"/>
      <c r="C3093" s="2"/>
      <c r="D3093" s="2"/>
      <c r="E3093" s="5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>
      <c r="A3094" s="4"/>
      <c r="B3094" s="2"/>
      <c r="C3094" s="2"/>
      <c r="D3094" s="2"/>
      <c r="E3094" s="5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>
      <c r="A3095" s="4"/>
      <c r="B3095" s="2"/>
      <c r="C3095" s="2"/>
      <c r="D3095" s="2"/>
      <c r="E3095" s="5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>
      <c r="A3096" s="4"/>
      <c r="B3096" s="2"/>
      <c r="C3096" s="2"/>
      <c r="D3096" s="2"/>
      <c r="E3096" s="5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>
      <c r="A3097" s="4"/>
      <c r="B3097" s="2"/>
      <c r="C3097" s="2"/>
      <c r="D3097" s="2"/>
      <c r="E3097" s="5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>
      <c r="A3098" s="4"/>
      <c r="B3098" s="2"/>
      <c r="C3098" s="2"/>
      <c r="D3098" s="2"/>
      <c r="E3098" s="5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>
      <c r="A3099" s="4"/>
      <c r="B3099" s="2"/>
      <c r="C3099" s="2"/>
      <c r="D3099" s="2"/>
      <c r="E3099" s="5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>
      <c r="A3100" s="4"/>
      <c r="B3100" s="2"/>
      <c r="C3100" s="2"/>
      <c r="D3100" s="2"/>
      <c r="E3100" s="5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>
      <c r="A3101" s="4"/>
      <c r="B3101" s="2"/>
      <c r="C3101" s="2"/>
      <c r="D3101" s="2"/>
      <c r="E3101" s="5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>
      <c r="A3102" s="4"/>
      <c r="B3102" s="2"/>
      <c r="C3102" s="2"/>
      <c r="D3102" s="2"/>
      <c r="E3102" s="5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>
      <c r="A3103" s="4"/>
      <c r="B3103" s="2"/>
      <c r="C3103" s="2"/>
      <c r="D3103" s="2"/>
      <c r="E3103" s="5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>
      <c r="A3104" s="4"/>
      <c r="B3104" s="2"/>
      <c r="C3104" s="2"/>
      <c r="D3104" s="2"/>
      <c r="E3104" s="5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>
      <c r="A3105" s="4"/>
      <c r="B3105" s="2"/>
      <c r="C3105" s="2"/>
      <c r="D3105" s="2"/>
      <c r="E3105" s="5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>
      <c r="A3106" s="4"/>
      <c r="B3106" s="2"/>
      <c r="C3106" s="2"/>
      <c r="D3106" s="2"/>
      <c r="E3106" s="5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>
      <c r="A3107" s="4"/>
      <c r="B3107" s="2"/>
      <c r="C3107" s="2"/>
      <c r="D3107" s="2"/>
      <c r="E3107" s="5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>
      <c r="A3108" s="4"/>
      <c r="B3108" s="2"/>
      <c r="C3108" s="2"/>
      <c r="D3108" s="2"/>
      <c r="E3108" s="5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>
      <c r="A3109" s="4"/>
      <c r="B3109" s="2"/>
      <c r="C3109" s="2"/>
      <c r="D3109" s="2"/>
      <c r="E3109" s="5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>
      <c r="A3110" s="4"/>
      <c r="B3110" s="2"/>
      <c r="C3110" s="2"/>
      <c r="D3110" s="2"/>
      <c r="E3110" s="5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>
      <c r="A3111" s="4"/>
      <c r="B3111" s="2"/>
      <c r="C3111" s="2"/>
      <c r="D3111" s="2"/>
      <c r="E3111" s="5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>
      <c r="A3112" s="4"/>
      <c r="B3112" s="2"/>
      <c r="C3112" s="2"/>
      <c r="D3112" s="2"/>
      <c r="E3112" s="5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>
      <c r="A3113" s="4"/>
      <c r="B3113" s="2"/>
      <c r="C3113" s="2"/>
      <c r="D3113" s="2"/>
      <c r="E3113" s="5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>
      <c r="A3114" s="4"/>
      <c r="B3114" s="2"/>
      <c r="C3114" s="2"/>
      <c r="D3114" s="2"/>
      <c r="E3114" s="5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>
      <c r="A3115" s="4"/>
      <c r="B3115" s="2"/>
      <c r="C3115" s="2"/>
      <c r="D3115" s="2"/>
      <c r="E3115" s="5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>
      <c r="A3116" s="4"/>
      <c r="B3116" s="2"/>
      <c r="C3116" s="2"/>
      <c r="D3116" s="2"/>
      <c r="E3116" s="5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>
      <c r="A3117" s="4"/>
      <c r="B3117" s="2"/>
      <c r="C3117" s="2"/>
      <c r="D3117" s="2"/>
      <c r="E3117" s="5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>
      <c r="A3118" s="4"/>
      <c r="B3118" s="2"/>
      <c r="C3118" s="2"/>
      <c r="D3118" s="2"/>
      <c r="E3118" s="5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>
      <c r="A3119" s="4"/>
      <c r="B3119" s="2"/>
      <c r="C3119" s="2"/>
      <c r="D3119" s="2"/>
      <c r="E3119" s="5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>
      <c r="A3120" s="4"/>
      <c r="B3120" s="2"/>
      <c r="C3120" s="2"/>
      <c r="D3120" s="2"/>
      <c r="E3120" s="5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>
      <c r="A3121" s="4"/>
      <c r="B3121" s="2"/>
      <c r="C3121" s="2"/>
      <c r="D3121" s="2"/>
      <c r="E3121" s="5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>
      <c r="A3122" s="4"/>
      <c r="B3122" s="2"/>
      <c r="C3122" s="2"/>
      <c r="D3122" s="2"/>
      <c r="E3122" s="5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>
      <c r="A3123" s="4"/>
      <c r="B3123" s="2"/>
      <c r="C3123" s="2"/>
      <c r="D3123" s="2"/>
      <c r="E3123" s="5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>
      <c r="A3124" s="4"/>
      <c r="B3124" s="2"/>
      <c r="C3124" s="2"/>
      <c r="D3124" s="2"/>
      <c r="E3124" s="5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>
      <c r="A3125" s="4"/>
      <c r="B3125" s="2"/>
      <c r="C3125" s="2"/>
      <c r="D3125" s="2"/>
      <c r="E3125" s="5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>
      <c r="A3126" s="4"/>
      <c r="B3126" s="2"/>
      <c r="C3126" s="2"/>
      <c r="D3126" s="2"/>
      <c r="E3126" s="5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>
      <c r="A3127" s="4"/>
      <c r="B3127" s="2"/>
      <c r="C3127" s="2"/>
      <c r="D3127" s="2"/>
      <c r="E3127" s="5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>
      <c r="A3128" s="4"/>
      <c r="B3128" s="2"/>
      <c r="C3128" s="2"/>
      <c r="D3128" s="2"/>
      <c r="E3128" s="5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>
      <c r="A3129" s="4"/>
      <c r="B3129" s="2"/>
      <c r="C3129" s="2"/>
      <c r="D3129" s="2"/>
      <c r="E3129" s="5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>
      <c r="A3130" s="4"/>
      <c r="B3130" s="2"/>
      <c r="C3130" s="2"/>
      <c r="D3130" s="2"/>
      <c r="E3130" s="5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>
      <c r="A3131" s="4"/>
      <c r="B3131" s="2"/>
      <c r="C3131" s="2"/>
      <c r="D3131" s="2"/>
      <c r="E3131" s="5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>
      <c r="A3132" s="4"/>
      <c r="B3132" s="2"/>
      <c r="C3132" s="2"/>
      <c r="D3132" s="2"/>
      <c r="E3132" s="5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>
      <c r="A3133" s="4"/>
      <c r="B3133" s="2"/>
      <c r="C3133" s="2"/>
      <c r="D3133" s="2"/>
      <c r="E3133" s="5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>
      <c r="A3134" s="4"/>
      <c r="B3134" s="2"/>
      <c r="C3134" s="2"/>
      <c r="D3134" s="2"/>
      <c r="E3134" s="5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>
      <c r="A3135" s="4"/>
      <c r="B3135" s="2"/>
      <c r="C3135" s="2"/>
      <c r="D3135" s="2"/>
      <c r="E3135" s="5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>
      <c r="A3136" s="4"/>
      <c r="B3136" s="2"/>
      <c r="C3136" s="2"/>
      <c r="D3136" s="2"/>
      <c r="E3136" s="5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>
      <c r="A3137" s="4"/>
      <c r="B3137" s="2"/>
      <c r="C3137" s="2"/>
      <c r="D3137" s="2"/>
      <c r="E3137" s="5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>
      <c r="A3138" s="4"/>
      <c r="B3138" s="2"/>
      <c r="C3138" s="2"/>
      <c r="D3138" s="2"/>
      <c r="E3138" s="5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>
      <c r="A3139" s="4"/>
      <c r="B3139" s="2"/>
      <c r="C3139" s="2"/>
      <c r="D3139" s="2"/>
      <c r="E3139" s="5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>
      <c r="A3140" s="4"/>
      <c r="B3140" s="2"/>
      <c r="C3140" s="2"/>
      <c r="D3140" s="2"/>
      <c r="E3140" s="5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>
      <c r="A3141" s="4"/>
      <c r="B3141" s="2"/>
      <c r="C3141" s="2"/>
      <c r="D3141" s="2"/>
      <c r="E3141" s="5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>
      <c r="A3142" s="4"/>
      <c r="B3142" s="2"/>
      <c r="C3142" s="2"/>
      <c r="D3142" s="2"/>
      <c r="E3142" s="5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>
      <c r="A3143" s="4"/>
      <c r="B3143" s="2"/>
      <c r="C3143" s="2"/>
      <c r="D3143" s="2"/>
      <c r="E3143" s="5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>
      <c r="A3144" s="4"/>
      <c r="B3144" s="2"/>
      <c r="C3144" s="2"/>
      <c r="D3144" s="2"/>
      <c r="E3144" s="5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>
      <c r="A3145" s="4"/>
      <c r="B3145" s="2"/>
      <c r="C3145" s="2"/>
      <c r="D3145" s="2"/>
      <c r="E3145" s="5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>
      <c r="A3146" s="4"/>
      <c r="B3146" s="2"/>
      <c r="C3146" s="2"/>
      <c r="D3146" s="2"/>
      <c r="E3146" s="5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>
      <c r="A3147" s="4"/>
      <c r="B3147" s="2"/>
      <c r="C3147" s="2"/>
      <c r="D3147" s="2"/>
      <c r="E3147" s="5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>
      <c r="A3148" s="4"/>
      <c r="B3148" s="2"/>
      <c r="C3148" s="2"/>
      <c r="D3148" s="2"/>
      <c r="E3148" s="5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>
      <c r="A3149" s="4"/>
      <c r="B3149" s="2"/>
      <c r="C3149" s="2"/>
      <c r="D3149" s="2"/>
      <c r="E3149" s="5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>
      <c r="A3150" s="4"/>
      <c r="B3150" s="2"/>
      <c r="C3150" s="2"/>
      <c r="D3150" s="2"/>
      <c r="E3150" s="5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>
      <c r="A3151" s="4"/>
      <c r="B3151" s="2"/>
      <c r="C3151" s="2"/>
      <c r="D3151" s="2"/>
      <c r="E3151" s="5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>
      <c r="A3152" s="4"/>
      <c r="B3152" s="2"/>
      <c r="C3152" s="2"/>
      <c r="D3152" s="2"/>
      <c r="E3152" s="5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>
      <c r="A3153" s="4"/>
      <c r="B3153" s="2"/>
      <c r="C3153" s="2"/>
      <c r="D3153" s="2"/>
      <c r="E3153" s="5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>
      <c r="A3154" s="4"/>
      <c r="B3154" s="2"/>
      <c r="C3154" s="2"/>
      <c r="D3154" s="2"/>
      <c r="E3154" s="5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>
      <c r="A3155" s="4"/>
      <c r="B3155" s="2"/>
      <c r="C3155" s="2"/>
      <c r="D3155" s="2"/>
      <c r="E3155" s="5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>
      <c r="A3156" s="4"/>
      <c r="B3156" s="2"/>
      <c r="C3156" s="2"/>
      <c r="D3156" s="2"/>
      <c r="E3156" s="5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>
      <c r="A3157" s="4"/>
      <c r="B3157" s="2"/>
      <c r="C3157" s="2"/>
      <c r="D3157" s="2"/>
      <c r="E3157" s="5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>
      <c r="A3158" s="4"/>
      <c r="B3158" s="2"/>
      <c r="C3158" s="2"/>
      <c r="D3158" s="2"/>
      <c r="E3158" s="5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>
      <c r="A3159" s="4"/>
      <c r="B3159" s="2"/>
      <c r="C3159" s="2"/>
      <c r="D3159" s="2"/>
      <c r="E3159" s="5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>
      <c r="A3160" s="4"/>
      <c r="B3160" s="2"/>
      <c r="C3160" s="2"/>
      <c r="D3160" s="2"/>
      <c r="E3160" s="5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>
      <c r="A3161" s="4"/>
      <c r="B3161" s="2"/>
      <c r="C3161" s="2"/>
      <c r="D3161" s="2"/>
      <c r="E3161" s="5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>
      <c r="A3162" s="4"/>
      <c r="B3162" s="2"/>
      <c r="C3162" s="2"/>
      <c r="D3162" s="2"/>
      <c r="E3162" s="5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>
      <c r="A3163" s="4"/>
      <c r="B3163" s="2"/>
      <c r="C3163" s="2"/>
      <c r="D3163" s="2"/>
      <c r="E3163" s="5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>
      <c r="A3164" s="4"/>
      <c r="B3164" s="2"/>
      <c r="C3164" s="2"/>
      <c r="D3164" s="2"/>
      <c r="E3164" s="5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>
      <c r="A3165" s="4"/>
      <c r="B3165" s="2"/>
      <c r="C3165" s="2"/>
      <c r="D3165" s="2"/>
      <c r="E3165" s="5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>
      <c r="A3166" s="4"/>
      <c r="B3166" s="2"/>
      <c r="C3166" s="2"/>
      <c r="D3166" s="2"/>
      <c r="E3166" s="5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>
      <c r="A3167" s="4"/>
      <c r="B3167" s="2"/>
      <c r="C3167" s="2"/>
      <c r="D3167" s="2"/>
      <c r="E3167" s="5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>
      <c r="A3168" s="4"/>
      <c r="B3168" s="2"/>
      <c r="C3168" s="2"/>
      <c r="D3168" s="2"/>
      <c r="E3168" s="5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>
      <c r="A3169" s="4"/>
      <c r="B3169" s="2"/>
      <c r="C3169" s="2"/>
      <c r="D3169" s="2"/>
      <c r="E3169" s="5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>
      <c r="A3170" s="4"/>
      <c r="B3170" s="2"/>
      <c r="C3170" s="2"/>
      <c r="D3170" s="2"/>
      <c r="E3170" s="5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>
      <c r="A3171" s="4"/>
      <c r="B3171" s="2"/>
      <c r="C3171" s="2"/>
      <c r="D3171" s="2"/>
      <c r="E3171" s="5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>
      <c r="A3172" s="4"/>
      <c r="B3172" s="2"/>
      <c r="C3172" s="2"/>
      <c r="D3172" s="2"/>
      <c r="E3172" s="5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>
      <c r="A3173" s="4"/>
      <c r="B3173" s="2"/>
      <c r="C3173" s="2"/>
      <c r="D3173" s="2"/>
      <c r="E3173" s="5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>
      <c r="A3174" s="4"/>
      <c r="B3174" s="2"/>
      <c r="C3174" s="2"/>
      <c r="D3174" s="2"/>
      <c r="E3174" s="5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>
      <c r="A3175" s="4"/>
      <c r="B3175" s="2"/>
      <c r="C3175" s="2"/>
      <c r="D3175" s="2"/>
      <c r="E3175" s="5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>
      <c r="A3176" s="4"/>
      <c r="B3176" s="2"/>
      <c r="C3176" s="2"/>
      <c r="D3176" s="2"/>
      <c r="E3176" s="5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>
      <c r="A3177" s="4"/>
      <c r="B3177" s="2"/>
      <c r="C3177" s="2"/>
      <c r="D3177" s="2"/>
      <c r="E3177" s="5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>
      <c r="A3178" s="4"/>
      <c r="B3178" s="2"/>
      <c r="C3178" s="2"/>
      <c r="D3178" s="2"/>
      <c r="E3178" s="5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>
      <c r="A3179" s="4"/>
      <c r="B3179" s="2"/>
      <c r="C3179" s="2"/>
      <c r="D3179" s="2"/>
      <c r="E3179" s="5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>
      <c r="A3180" s="4"/>
      <c r="B3180" s="2"/>
      <c r="C3180" s="2"/>
      <c r="D3180" s="2"/>
      <c r="E3180" s="5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>
      <c r="A3181" s="4"/>
      <c r="B3181" s="2"/>
      <c r="C3181" s="2"/>
      <c r="D3181" s="2"/>
      <c r="E3181" s="5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>
      <c r="A3182" s="4"/>
      <c r="B3182" s="2"/>
      <c r="C3182" s="2"/>
      <c r="D3182" s="2"/>
      <c r="E3182" s="5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>
      <c r="A3183" s="4"/>
      <c r="B3183" s="2"/>
      <c r="C3183" s="2"/>
      <c r="D3183" s="2"/>
      <c r="E3183" s="5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>
      <c r="A3184" s="4"/>
      <c r="B3184" s="2"/>
      <c r="C3184" s="2"/>
      <c r="D3184" s="2"/>
      <c r="E3184" s="5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>
      <c r="A3185" s="4"/>
      <c r="B3185" s="2"/>
      <c r="C3185" s="2"/>
      <c r="D3185" s="2"/>
      <c r="E3185" s="5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>
      <c r="A3186" s="4"/>
      <c r="B3186" s="2"/>
      <c r="C3186" s="2"/>
      <c r="D3186" s="2"/>
      <c r="E3186" s="5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>
      <c r="A3187" s="4"/>
      <c r="B3187" s="2"/>
      <c r="C3187" s="2"/>
      <c r="D3187" s="2"/>
      <c r="E3187" s="5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>
      <c r="A3188" s="4"/>
      <c r="B3188" s="2"/>
      <c r="C3188" s="2"/>
      <c r="D3188" s="2"/>
      <c r="E3188" s="5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>
      <c r="A3189" s="4"/>
      <c r="B3189" s="2"/>
      <c r="C3189" s="2"/>
      <c r="D3189" s="2"/>
      <c r="E3189" s="5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>
      <c r="A3190" s="4"/>
      <c r="B3190" s="2"/>
      <c r="C3190" s="2"/>
      <c r="D3190" s="2"/>
      <c r="E3190" s="5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>
      <c r="A3191" s="4"/>
      <c r="B3191" s="2"/>
      <c r="C3191" s="2"/>
      <c r="D3191" s="2"/>
      <c r="E3191" s="5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>
      <c r="A3192" s="4"/>
      <c r="B3192" s="2"/>
      <c r="C3192" s="2"/>
      <c r="D3192" s="2"/>
      <c r="E3192" s="5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>
      <c r="A3193" s="4"/>
      <c r="B3193" s="2"/>
      <c r="C3193" s="2"/>
      <c r="D3193" s="2"/>
      <c r="E3193" s="5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>
      <c r="A3194" s="4"/>
      <c r="B3194" s="2"/>
      <c r="C3194" s="2"/>
      <c r="D3194" s="2"/>
      <c r="E3194" s="5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>
      <c r="A3195" s="4"/>
      <c r="B3195" s="2"/>
      <c r="C3195" s="2"/>
      <c r="D3195" s="2"/>
      <c r="E3195" s="5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>
      <c r="A3196" s="4"/>
      <c r="B3196" s="2"/>
      <c r="C3196" s="2"/>
      <c r="D3196" s="2"/>
      <c r="E3196" s="5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>
      <c r="A3197" s="4"/>
      <c r="B3197" s="2"/>
      <c r="C3197" s="2"/>
      <c r="D3197" s="2"/>
      <c r="E3197" s="5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>
      <c r="A3198" s="4"/>
      <c r="B3198" s="2"/>
      <c r="C3198" s="2"/>
      <c r="D3198" s="2"/>
      <c r="E3198" s="5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>
      <c r="A3199" s="4"/>
      <c r="B3199" s="2"/>
      <c r="C3199" s="2"/>
      <c r="D3199" s="2"/>
      <c r="E3199" s="5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>
      <c r="A3200" s="4"/>
      <c r="B3200" s="2"/>
      <c r="C3200" s="2"/>
      <c r="D3200" s="2"/>
      <c r="E3200" s="5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>
      <c r="A3201" s="4"/>
      <c r="B3201" s="2"/>
      <c r="C3201" s="2"/>
      <c r="D3201" s="2"/>
      <c r="E3201" s="5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>
      <c r="A3202" s="4"/>
      <c r="B3202" s="2"/>
      <c r="C3202" s="2"/>
      <c r="D3202" s="2"/>
      <c r="E3202" s="5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>
      <c r="A3203" s="4"/>
      <c r="B3203" s="2"/>
      <c r="C3203" s="2"/>
      <c r="D3203" s="2"/>
      <c r="E3203" s="5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>
      <c r="A3204" s="4"/>
      <c r="B3204" s="2"/>
      <c r="C3204" s="2"/>
      <c r="D3204" s="2"/>
      <c r="E3204" s="5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>
      <c r="A3205" s="4"/>
      <c r="B3205" s="2"/>
      <c r="C3205" s="2"/>
      <c r="D3205" s="2"/>
      <c r="E3205" s="5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>
      <c r="A3206" s="4"/>
      <c r="B3206" s="2"/>
      <c r="C3206" s="2"/>
      <c r="D3206" s="2"/>
      <c r="E3206" s="5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>
      <c r="A3207" s="4"/>
      <c r="B3207" s="2"/>
      <c r="C3207" s="2"/>
      <c r="D3207" s="2"/>
      <c r="E3207" s="5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>
      <c r="A3208" s="4"/>
      <c r="B3208" s="2"/>
      <c r="C3208" s="2"/>
      <c r="D3208" s="2"/>
      <c r="E3208" s="5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>
      <c r="A3209" s="4"/>
      <c r="B3209" s="2"/>
      <c r="C3209" s="2"/>
      <c r="D3209" s="2"/>
      <c r="E3209" s="5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>
      <c r="A3210" s="4"/>
      <c r="B3210" s="2"/>
      <c r="C3210" s="2"/>
      <c r="D3210" s="2"/>
      <c r="E3210" s="5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>
      <c r="A3211" s="4"/>
      <c r="B3211" s="2"/>
      <c r="C3211" s="2"/>
      <c r="D3211" s="2"/>
      <c r="E3211" s="5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>
      <c r="A3212" s="4"/>
      <c r="B3212" s="2"/>
      <c r="C3212" s="2"/>
      <c r="D3212" s="2"/>
      <c r="E3212" s="5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>
      <c r="A3213" s="4"/>
      <c r="B3213" s="2"/>
      <c r="C3213" s="2"/>
      <c r="D3213" s="2"/>
      <c r="E3213" s="5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>
      <c r="A3214" s="4"/>
      <c r="B3214" s="2"/>
      <c r="C3214" s="2"/>
      <c r="D3214" s="2"/>
      <c r="E3214" s="5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>
      <c r="A3215" s="4"/>
      <c r="B3215" s="2"/>
      <c r="C3215" s="2"/>
      <c r="D3215" s="2"/>
      <c r="E3215" s="5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>
      <c r="A3216" s="4"/>
      <c r="B3216" s="2"/>
      <c r="C3216" s="2"/>
      <c r="D3216" s="2"/>
      <c r="E3216" s="5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>
      <c r="A3217" s="4"/>
      <c r="B3217" s="2"/>
      <c r="C3217" s="2"/>
      <c r="D3217" s="2"/>
      <c r="E3217" s="5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>
      <c r="A3218" s="4"/>
      <c r="B3218" s="2"/>
      <c r="C3218" s="2"/>
      <c r="D3218" s="2"/>
      <c r="E3218" s="5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>
      <c r="A3219" s="4"/>
      <c r="B3219" s="2"/>
      <c r="C3219" s="2"/>
      <c r="D3219" s="2"/>
      <c r="E3219" s="5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>
      <c r="A3220" s="4"/>
      <c r="B3220" s="2"/>
      <c r="C3220" s="2"/>
      <c r="D3220" s="2"/>
      <c r="E3220" s="5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>
      <c r="A3221" s="4"/>
      <c r="B3221" s="2"/>
      <c r="C3221" s="2"/>
      <c r="D3221" s="2"/>
      <c r="E3221" s="5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>
      <c r="A3222" s="4"/>
      <c r="B3222" s="2"/>
      <c r="C3222" s="2"/>
      <c r="D3222" s="2"/>
      <c r="E3222" s="5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>
      <c r="A3223" s="4"/>
      <c r="B3223" s="2"/>
      <c r="C3223" s="2"/>
      <c r="D3223" s="2"/>
      <c r="E3223" s="5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>
      <c r="A3224" s="4"/>
      <c r="B3224" s="2"/>
      <c r="C3224" s="2"/>
      <c r="D3224" s="2"/>
      <c r="E3224" s="5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>
      <c r="A3225" s="4"/>
      <c r="B3225" s="2"/>
      <c r="C3225" s="2"/>
      <c r="D3225" s="2"/>
      <c r="E3225" s="5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>
      <c r="A3226" s="4"/>
      <c r="B3226" s="2"/>
      <c r="C3226" s="2"/>
      <c r="D3226" s="2"/>
      <c r="E3226" s="5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>
      <c r="A3227" s="4"/>
      <c r="B3227" s="2"/>
      <c r="C3227" s="2"/>
      <c r="D3227" s="2"/>
      <c r="E3227" s="5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>
      <c r="A3228" s="4"/>
      <c r="B3228" s="2"/>
      <c r="C3228" s="2"/>
      <c r="D3228" s="2"/>
      <c r="E3228" s="5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>
      <c r="A3229" s="4"/>
      <c r="B3229" s="2"/>
      <c r="C3229" s="2"/>
      <c r="D3229" s="2"/>
      <c r="E3229" s="5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>
      <c r="A3230" s="4"/>
      <c r="B3230" s="2"/>
      <c r="C3230" s="2"/>
      <c r="D3230" s="2"/>
      <c r="E3230" s="5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>
      <c r="A3231" s="4"/>
      <c r="B3231" s="2"/>
      <c r="C3231" s="2"/>
      <c r="D3231" s="2"/>
      <c r="E3231" s="5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>
      <c r="A3232" s="4"/>
      <c r="B3232" s="2"/>
      <c r="C3232" s="2"/>
      <c r="D3232" s="2"/>
      <c r="E3232" s="5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>
      <c r="A3233" s="4"/>
      <c r="B3233" s="2"/>
      <c r="C3233" s="2"/>
      <c r="D3233" s="2"/>
      <c r="E3233" s="5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>
      <c r="A3234" s="4"/>
      <c r="B3234" s="2"/>
      <c r="C3234" s="2"/>
      <c r="D3234" s="2"/>
      <c r="E3234" s="5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>
      <c r="A3235" s="4"/>
      <c r="B3235" s="2"/>
      <c r="C3235" s="2"/>
      <c r="D3235" s="2"/>
      <c r="E3235" s="5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>
      <c r="A3236" s="4"/>
      <c r="B3236" s="2"/>
      <c r="C3236" s="2"/>
      <c r="D3236" s="2"/>
      <c r="E3236" s="5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>
      <c r="A3237" s="4"/>
      <c r="B3237" s="2"/>
      <c r="C3237" s="2"/>
      <c r="D3237" s="2"/>
      <c r="E3237" s="5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>
      <c r="A3238" s="4"/>
      <c r="B3238" s="2"/>
      <c r="C3238" s="2"/>
      <c r="D3238" s="2"/>
      <c r="E3238" s="5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>
      <c r="A3239" s="4"/>
      <c r="B3239" s="2"/>
      <c r="C3239" s="2"/>
      <c r="D3239" s="2"/>
      <c r="E3239" s="5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>
      <c r="A3240" s="4"/>
      <c r="B3240" s="2"/>
      <c r="C3240" s="2"/>
      <c r="D3240" s="2"/>
      <c r="E3240" s="5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>
      <c r="A3241" s="4"/>
      <c r="B3241" s="2"/>
      <c r="C3241" s="2"/>
      <c r="D3241" s="2"/>
      <c r="E3241" s="5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>
      <c r="A3242" s="4"/>
      <c r="B3242" s="2"/>
      <c r="C3242" s="2"/>
      <c r="D3242" s="2"/>
      <c r="E3242" s="5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>
      <c r="A3243" s="4"/>
      <c r="B3243" s="2"/>
      <c r="C3243" s="2"/>
      <c r="D3243" s="2"/>
      <c r="E3243" s="5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>
      <c r="A3244" s="4"/>
      <c r="B3244" s="2"/>
      <c r="C3244" s="2"/>
      <c r="D3244" s="2"/>
      <c r="E3244" s="5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>
      <c r="A3245" s="4"/>
      <c r="B3245" s="2"/>
      <c r="C3245" s="2"/>
      <c r="D3245" s="2"/>
      <c r="E3245" s="5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>
      <c r="A3246" s="4"/>
      <c r="B3246" s="2"/>
      <c r="C3246" s="2"/>
      <c r="D3246" s="2"/>
      <c r="E3246" s="5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>
      <c r="A3247" s="4"/>
      <c r="B3247" s="2"/>
      <c r="C3247" s="2"/>
      <c r="D3247" s="2"/>
      <c r="E3247" s="5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>
      <c r="A3248" s="4"/>
      <c r="B3248" s="2"/>
      <c r="C3248" s="2"/>
      <c r="D3248" s="2"/>
      <c r="E3248" s="5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>
      <c r="A3249" s="4"/>
      <c r="B3249" s="2"/>
      <c r="C3249" s="2"/>
      <c r="D3249" s="2"/>
      <c r="E3249" s="5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>
      <c r="A3250" s="4"/>
      <c r="B3250" s="2"/>
      <c r="C3250" s="2"/>
      <c r="D3250" s="2"/>
      <c r="E3250" s="5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>
      <c r="A3251" s="4"/>
      <c r="B3251" s="2"/>
      <c r="C3251" s="2"/>
      <c r="D3251" s="2"/>
      <c r="E3251" s="5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>
      <c r="A3252" s="4"/>
      <c r="B3252" s="2"/>
      <c r="C3252" s="2"/>
      <c r="D3252" s="2"/>
      <c r="E3252" s="5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>
      <c r="A3253" s="4"/>
      <c r="B3253" s="2"/>
      <c r="C3253" s="2"/>
      <c r="D3253" s="2"/>
      <c r="E3253" s="5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>
      <c r="A3254" s="4"/>
      <c r="B3254" s="2"/>
      <c r="C3254" s="2"/>
      <c r="D3254" s="2"/>
      <c r="E3254" s="5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>
      <c r="A3255" s="4"/>
      <c r="B3255" s="2"/>
      <c r="C3255" s="2"/>
      <c r="D3255" s="2"/>
      <c r="E3255" s="5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>
      <c r="A3256" s="4"/>
      <c r="B3256" s="2"/>
      <c r="C3256" s="2"/>
      <c r="D3256" s="2"/>
      <c r="E3256" s="5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>
      <c r="A3257" s="4"/>
      <c r="B3257" s="2"/>
      <c r="C3257" s="2"/>
      <c r="D3257" s="2"/>
      <c r="E3257" s="5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>
      <c r="A3258" s="4"/>
      <c r="B3258" s="2"/>
      <c r="C3258" s="2"/>
      <c r="D3258" s="2"/>
      <c r="E3258" s="5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>
      <c r="A3259" s="4"/>
      <c r="B3259" s="2"/>
      <c r="C3259" s="2"/>
      <c r="D3259" s="2"/>
      <c r="E3259" s="5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>
      <c r="A3260" s="4"/>
      <c r="B3260" s="2"/>
      <c r="C3260" s="2"/>
      <c r="D3260" s="2"/>
      <c r="E3260" s="5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>
      <c r="A3261" s="4"/>
      <c r="B3261" s="2"/>
      <c r="C3261" s="2"/>
      <c r="D3261" s="2"/>
      <c r="E3261" s="5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>
      <c r="A3262" s="4"/>
      <c r="B3262" s="2"/>
      <c r="C3262" s="2"/>
      <c r="D3262" s="2"/>
      <c r="E3262" s="5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>
      <c r="A3263" s="4"/>
      <c r="B3263" s="2"/>
      <c r="C3263" s="2"/>
      <c r="D3263" s="2"/>
      <c r="E3263" s="5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>
      <c r="A3264" s="4"/>
      <c r="B3264" s="2"/>
      <c r="C3264" s="2"/>
      <c r="D3264" s="2"/>
      <c r="E3264" s="5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>
      <c r="A3265" s="4"/>
      <c r="B3265" s="2"/>
      <c r="C3265" s="2"/>
      <c r="D3265" s="2"/>
      <c r="E3265" s="5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>
      <c r="A3266" s="4"/>
      <c r="B3266" s="2"/>
      <c r="C3266" s="2"/>
      <c r="D3266" s="2"/>
      <c r="E3266" s="5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>
      <c r="A3267" s="4"/>
      <c r="B3267" s="2"/>
      <c r="C3267" s="2"/>
      <c r="D3267" s="2"/>
      <c r="E3267" s="5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>
      <c r="A3268" s="4"/>
      <c r="B3268" s="2"/>
      <c r="C3268" s="2"/>
      <c r="D3268" s="2"/>
      <c r="E3268" s="5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>
      <c r="A3269" s="4"/>
      <c r="B3269" s="2"/>
      <c r="C3269" s="2"/>
      <c r="D3269" s="2"/>
      <c r="E3269" s="5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>
      <c r="A3270" s="4"/>
      <c r="B3270" s="2"/>
      <c r="C3270" s="2"/>
      <c r="D3270" s="2"/>
      <c r="E3270" s="5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>
      <c r="A3271" s="4"/>
      <c r="B3271" s="2"/>
      <c r="C3271" s="2"/>
      <c r="D3271" s="2"/>
      <c r="E3271" s="5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>
      <c r="A3272" s="4"/>
      <c r="B3272" s="2"/>
      <c r="C3272" s="2"/>
      <c r="D3272" s="2"/>
      <c r="E3272" s="5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>
      <c r="A3273" s="4"/>
      <c r="B3273" s="2"/>
      <c r="C3273" s="2"/>
      <c r="D3273" s="2"/>
      <c r="E3273" s="5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>
      <c r="A3274" s="4"/>
      <c r="B3274" s="2"/>
      <c r="C3274" s="2"/>
      <c r="D3274" s="2"/>
      <c r="E3274" s="5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>
      <c r="A3275" s="4"/>
      <c r="B3275" s="2"/>
      <c r="C3275" s="2"/>
      <c r="D3275" s="2"/>
      <c r="E3275" s="5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>
      <c r="A3276" s="4"/>
      <c r="B3276" s="2"/>
      <c r="C3276" s="2"/>
      <c r="D3276" s="2"/>
      <c r="E3276" s="5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>
      <c r="A3277" s="4"/>
      <c r="B3277" s="2"/>
      <c r="C3277" s="2"/>
      <c r="D3277" s="2"/>
      <c r="E3277" s="5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>
      <c r="A3278" s="4"/>
      <c r="B3278" s="2"/>
      <c r="C3278" s="2"/>
      <c r="D3278" s="2"/>
      <c r="E3278" s="5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>
      <c r="A3279" s="4"/>
      <c r="B3279" s="2"/>
      <c r="C3279" s="2"/>
      <c r="D3279" s="2"/>
      <c r="E3279" s="5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>
      <c r="A3280" s="4"/>
      <c r="B3280" s="2"/>
      <c r="C3280" s="2"/>
      <c r="D3280" s="2"/>
      <c r="E3280" s="5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>
      <c r="A3281" s="4"/>
      <c r="B3281" s="2"/>
      <c r="C3281" s="2"/>
      <c r="D3281" s="2"/>
      <c r="E3281" s="5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>
      <c r="A3282" s="4"/>
      <c r="B3282" s="2"/>
      <c r="C3282" s="2"/>
      <c r="D3282" s="2"/>
      <c r="E3282" s="5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>
      <c r="A3283" s="4"/>
      <c r="B3283" s="2"/>
      <c r="C3283" s="2"/>
      <c r="D3283" s="2"/>
      <c r="E3283" s="5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>
      <c r="A3284" s="4"/>
      <c r="B3284" s="2"/>
      <c r="C3284" s="2"/>
      <c r="D3284" s="2"/>
      <c r="E3284" s="5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>
      <c r="A3285" s="4"/>
      <c r="B3285" s="2"/>
      <c r="C3285" s="2"/>
      <c r="D3285" s="2"/>
      <c r="E3285" s="5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>
      <c r="A3286" s="4"/>
      <c r="B3286" s="2"/>
      <c r="C3286" s="2"/>
      <c r="D3286" s="2"/>
      <c r="E3286" s="5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>
      <c r="A3287" s="4"/>
      <c r="B3287" s="2"/>
      <c r="C3287" s="2"/>
      <c r="D3287" s="2"/>
      <c r="E3287" s="5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>
      <c r="A3288" s="4"/>
      <c r="B3288" s="2"/>
      <c r="C3288" s="2"/>
      <c r="D3288" s="2"/>
      <c r="E3288" s="5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>
      <c r="A3289" s="4"/>
      <c r="B3289" s="2"/>
      <c r="C3289" s="2"/>
      <c r="D3289" s="2"/>
      <c r="E3289" s="5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>
      <c r="A3290" s="4"/>
      <c r="B3290" s="2"/>
      <c r="C3290" s="2"/>
      <c r="D3290" s="2"/>
      <c r="E3290" s="5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>
      <c r="A3291" s="4"/>
      <c r="B3291" s="2"/>
      <c r="C3291" s="2"/>
      <c r="D3291" s="2"/>
      <c r="E3291" s="5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>
      <c r="A3292" s="4"/>
      <c r="B3292" s="2"/>
      <c r="C3292" s="2"/>
      <c r="D3292" s="2"/>
      <c r="E3292" s="5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>
      <c r="A3293" s="4"/>
      <c r="B3293" s="2"/>
      <c r="C3293" s="2"/>
      <c r="D3293" s="2"/>
      <c r="E3293" s="5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>
      <c r="A3294" s="4"/>
      <c r="B3294" s="2"/>
      <c r="C3294" s="2"/>
      <c r="D3294" s="2"/>
      <c r="E3294" s="5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>
      <c r="A3295" s="4"/>
      <c r="B3295" s="2"/>
      <c r="C3295" s="2"/>
      <c r="D3295" s="2"/>
      <c r="E3295" s="5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>
      <c r="A3296" s="4"/>
      <c r="B3296" s="2"/>
      <c r="C3296" s="2"/>
      <c r="D3296" s="2"/>
      <c r="E3296" s="5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>
      <c r="A3297" s="4"/>
      <c r="B3297" s="2"/>
      <c r="C3297" s="2"/>
      <c r="D3297" s="2"/>
      <c r="E3297" s="5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>
      <c r="A3298" s="4"/>
      <c r="B3298" s="2"/>
      <c r="C3298" s="2"/>
      <c r="D3298" s="2"/>
      <c r="E3298" s="5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>
      <c r="A3299" s="4"/>
      <c r="B3299" s="2"/>
      <c r="C3299" s="2"/>
      <c r="D3299" s="2"/>
      <c r="E3299" s="5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>
      <c r="A3300" s="4"/>
      <c r="B3300" s="2"/>
      <c r="C3300" s="2"/>
      <c r="D3300" s="2"/>
      <c r="E3300" s="5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>
      <c r="A3301" s="4"/>
      <c r="B3301" s="2"/>
      <c r="C3301" s="2"/>
      <c r="D3301" s="2"/>
      <c r="E3301" s="5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>
      <c r="A3302" s="4"/>
      <c r="B3302" s="2"/>
      <c r="C3302" s="2"/>
      <c r="D3302" s="2"/>
      <c r="E3302" s="5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>
      <c r="A3303" s="4"/>
      <c r="B3303" s="2"/>
      <c r="C3303" s="2"/>
      <c r="D3303" s="2"/>
      <c r="E3303" s="5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>
      <c r="A3304" s="4"/>
      <c r="B3304" s="2"/>
      <c r="C3304" s="2"/>
      <c r="D3304" s="2"/>
      <c r="E3304" s="5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>
      <c r="A3305" s="4"/>
      <c r="B3305" s="2"/>
      <c r="C3305" s="2"/>
      <c r="D3305" s="2"/>
      <c r="E3305" s="5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>
      <c r="A3306" s="4"/>
      <c r="B3306" s="2"/>
      <c r="C3306" s="2"/>
      <c r="D3306" s="2"/>
      <c r="E3306" s="5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>
      <c r="A3307" s="4"/>
      <c r="B3307" s="2"/>
      <c r="C3307" s="2"/>
      <c r="D3307" s="2"/>
      <c r="E3307" s="5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>
      <c r="A3308" s="4"/>
      <c r="B3308" s="2"/>
      <c r="C3308" s="2"/>
      <c r="D3308" s="2"/>
      <c r="E3308" s="5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>
      <c r="A3309" s="4"/>
      <c r="B3309" s="2"/>
      <c r="C3309" s="2"/>
      <c r="D3309" s="2"/>
      <c r="E3309" s="5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>
      <c r="A3310" s="4"/>
      <c r="B3310" s="2"/>
      <c r="C3310" s="2"/>
      <c r="D3310" s="2"/>
      <c r="E3310" s="5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>
      <c r="A3311" s="4"/>
      <c r="B3311" s="2"/>
      <c r="C3311" s="2"/>
      <c r="D3311" s="2"/>
      <c r="E3311" s="5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>
      <c r="A3312" s="4"/>
      <c r="B3312" s="2"/>
      <c r="C3312" s="2"/>
      <c r="D3312" s="2"/>
      <c r="E3312" s="5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>
      <c r="A3313" s="4"/>
      <c r="B3313" s="2"/>
      <c r="C3313" s="2"/>
      <c r="D3313" s="2"/>
      <c r="E3313" s="5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>
      <c r="A3314" s="4"/>
      <c r="B3314" s="2"/>
      <c r="C3314" s="2"/>
      <c r="D3314" s="2"/>
      <c r="E3314" s="5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>
      <c r="A3315" s="4"/>
      <c r="B3315" s="2"/>
      <c r="C3315" s="2"/>
      <c r="D3315" s="2"/>
      <c r="E3315" s="5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>
      <c r="A3316" s="4"/>
      <c r="B3316" s="2"/>
      <c r="C3316" s="2"/>
      <c r="D3316" s="2"/>
      <c r="E3316" s="5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>
      <c r="A3317" s="4"/>
      <c r="B3317" s="2"/>
      <c r="C3317" s="2"/>
      <c r="D3317" s="2"/>
      <c r="E3317" s="5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>
      <c r="A3318" s="4"/>
      <c r="B3318" s="2"/>
      <c r="C3318" s="2"/>
      <c r="D3318" s="2"/>
      <c r="E3318" s="5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>
      <c r="A3319" s="4"/>
      <c r="B3319" s="2"/>
      <c r="C3319" s="2"/>
      <c r="D3319" s="2"/>
      <c r="E3319" s="5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>
      <c r="A3320" s="4"/>
      <c r="B3320" s="2"/>
      <c r="C3320" s="2"/>
      <c r="D3320" s="2"/>
      <c r="E3320" s="5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>
      <c r="A3321" s="4"/>
      <c r="B3321" s="2"/>
      <c r="C3321" s="2"/>
      <c r="D3321" s="2"/>
      <c r="E3321" s="5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>
      <c r="A3322" s="4"/>
      <c r="B3322" s="2"/>
      <c r="C3322" s="2"/>
      <c r="D3322" s="2"/>
      <c r="E3322" s="5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>
      <c r="A3323" s="4"/>
      <c r="B3323" s="2"/>
      <c r="C3323" s="2"/>
      <c r="D3323" s="2"/>
      <c r="E3323" s="5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>
      <c r="A3324" s="4"/>
      <c r="B3324" s="2"/>
      <c r="C3324" s="2"/>
      <c r="D3324" s="2"/>
      <c r="E3324" s="5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>
      <c r="A3325" s="4"/>
      <c r="B3325" s="2"/>
      <c r="C3325" s="2"/>
      <c r="D3325" s="2"/>
      <c r="E3325" s="5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>
      <c r="A3326" s="4"/>
      <c r="B3326" s="2"/>
      <c r="C3326" s="2"/>
      <c r="D3326" s="2"/>
      <c r="E3326" s="5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>
      <c r="A3327" s="4"/>
      <c r="B3327" s="2"/>
      <c r="C3327" s="2"/>
      <c r="D3327" s="2"/>
      <c r="E3327" s="5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>
      <c r="A3328" s="4"/>
      <c r="B3328" s="2"/>
      <c r="C3328" s="2"/>
      <c r="D3328" s="2"/>
      <c r="E3328" s="5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>
      <c r="A3329" s="4"/>
      <c r="B3329" s="2"/>
      <c r="C3329" s="2"/>
      <c r="D3329" s="2"/>
      <c r="E3329" s="5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>
      <c r="A3330" s="4"/>
      <c r="B3330" s="2"/>
      <c r="C3330" s="2"/>
      <c r="D3330" s="2"/>
      <c r="E3330" s="5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>
      <c r="A3331" s="4"/>
      <c r="B3331" s="2"/>
      <c r="C3331" s="2"/>
      <c r="D3331" s="2"/>
      <c r="E3331" s="5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>
      <c r="A3332" s="4"/>
      <c r="B3332" s="2"/>
      <c r="C3332" s="2"/>
      <c r="D3332" s="2"/>
      <c r="E3332" s="5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>
      <c r="A3333" s="4"/>
      <c r="B3333" s="2"/>
      <c r="C3333" s="2"/>
      <c r="D3333" s="2"/>
      <c r="E3333" s="5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>
      <c r="A3334" s="4"/>
      <c r="B3334" s="2"/>
      <c r="C3334" s="2"/>
      <c r="D3334" s="2"/>
      <c r="E3334" s="5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>
      <c r="A3335" s="4"/>
      <c r="B3335" s="2"/>
      <c r="C3335" s="2"/>
      <c r="D3335" s="2"/>
      <c r="E3335" s="5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>
      <c r="A3336" s="4"/>
      <c r="B3336" s="2"/>
      <c r="C3336" s="2"/>
      <c r="D3336" s="2"/>
      <c r="E3336" s="5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>
      <c r="A3337" s="4"/>
      <c r="B3337" s="2"/>
      <c r="C3337" s="2"/>
      <c r="D3337" s="2"/>
      <c r="E3337" s="5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>
      <c r="A3338" s="4"/>
      <c r="B3338" s="2"/>
      <c r="C3338" s="2"/>
      <c r="D3338" s="2"/>
      <c r="E3338" s="5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>
      <c r="A3339" s="4"/>
      <c r="B3339" s="2"/>
      <c r="C3339" s="2"/>
      <c r="D3339" s="2"/>
      <c r="E3339" s="5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>
      <c r="A3340" s="4"/>
      <c r="B3340" s="2"/>
      <c r="C3340" s="2"/>
      <c r="D3340" s="2"/>
      <c r="E3340" s="5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>
      <c r="A3341" s="4"/>
      <c r="B3341" s="2"/>
      <c r="C3341" s="2"/>
      <c r="D3341" s="2"/>
      <c r="E3341" s="5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>
      <c r="A3342" s="4"/>
      <c r="B3342" s="2"/>
      <c r="C3342" s="2"/>
      <c r="D3342" s="2"/>
      <c r="E3342" s="5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>
      <c r="A3343" s="4"/>
      <c r="B3343" s="2"/>
      <c r="C3343" s="2"/>
      <c r="D3343" s="2"/>
      <c r="E3343" s="5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>
      <c r="A3344" s="4"/>
      <c r="B3344" s="2"/>
      <c r="C3344" s="2"/>
      <c r="D3344" s="2"/>
      <c r="E3344" s="5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>
      <c r="A3345" s="4"/>
      <c r="B3345" s="2"/>
      <c r="C3345" s="2"/>
      <c r="D3345" s="2"/>
      <c r="E3345" s="5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>
      <c r="A3346" s="4"/>
      <c r="B3346" s="2"/>
      <c r="C3346" s="2"/>
      <c r="D3346" s="2"/>
      <c r="E3346" s="5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>
      <c r="A3347" s="4"/>
      <c r="B3347" s="2"/>
      <c r="C3347" s="2"/>
      <c r="D3347" s="2"/>
      <c r="E3347" s="5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>
      <c r="A3348" s="4"/>
      <c r="B3348" s="2"/>
      <c r="C3348" s="2"/>
      <c r="D3348" s="2"/>
      <c r="E3348" s="5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>
      <c r="A3349" s="4"/>
      <c r="B3349" s="2"/>
      <c r="C3349" s="2"/>
      <c r="D3349" s="2"/>
      <c r="E3349" s="5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>
      <c r="A3350" s="4"/>
      <c r="B3350" s="2"/>
      <c r="C3350" s="2"/>
      <c r="D3350" s="2"/>
      <c r="E3350" s="5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>
      <c r="A3351" s="4"/>
      <c r="B3351" s="2"/>
      <c r="C3351" s="2"/>
      <c r="D3351" s="2"/>
      <c r="E3351" s="5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>
      <c r="A3352" s="4"/>
      <c r="B3352" s="2"/>
      <c r="C3352" s="2"/>
      <c r="D3352" s="2"/>
      <c r="E3352" s="5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>
      <c r="A3353" s="4"/>
      <c r="B3353" s="2"/>
      <c r="C3353" s="2"/>
      <c r="D3353" s="2"/>
      <c r="E3353" s="5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>
      <c r="A3354" s="4"/>
      <c r="B3354" s="2"/>
      <c r="C3354" s="2"/>
      <c r="D3354" s="2"/>
      <c r="E3354" s="5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>
      <c r="A3355" s="4"/>
      <c r="B3355" s="2"/>
      <c r="C3355" s="2"/>
      <c r="D3355" s="2"/>
      <c r="E3355" s="5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>
      <c r="A3356" s="4"/>
      <c r="B3356" s="2"/>
      <c r="C3356" s="2"/>
      <c r="D3356" s="2"/>
      <c r="E3356" s="5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>
      <c r="A3357" s="4"/>
      <c r="B3357" s="2"/>
      <c r="C3357" s="2"/>
      <c r="D3357" s="2"/>
      <c r="E3357" s="5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>
      <c r="A3358" s="4"/>
      <c r="B3358" s="2"/>
      <c r="C3358" s="2"/>
      <c r="D3358" s="2"/>
      <c r="E3358" s="5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>
      <c r="A3359" s="4"/>
      <c r="B3359" s="2"/>
      <c r="C3359" s="2"/>
      <c r="D3359" s="2"/>
      <c r="E3359" s="5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>
      <c r="A3360" s="4"/>
      <c r="B3360" s="2"/>
      <c r="C3360" s="2"/>
      <c r="D3360" s="2"/>
      <c r="E3360" s="5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>
      <c r="A3361" s="4"/>
      <c r="B3361" s="2"/>
      <c r="C3361" s="2"/>
      <c r="D3361" s="2"/>
      <c r="E3361" s="5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>
      <c r="A3362" s="4"/>
      <c r="B3362" s="2"/>
      <c r="C3362" s="2"/>
      <c r="D3362" s="2"/>
      <c r="E3362" s="5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>
      <c r="A3363" s="4"/>
      <c r="B3363" s="2"/>
      <c r="C3363" s="2"/>
      <c r="D3363" s="2"/>
      <c r="E3363" s="5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>
      <c r="A3364" s="4"/>
      <c r="B3364" s="2"/>
      <c r="C3364" s="2"/>
      <c r="D3364" s="2"/>
      <c r="E3364" s="5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>
      <c r="A3365" s="4"/>
      <c r="B3365" s="2"/>
      <c r="C3365" s="2"/>
      <c r="D3365" s="2"/>
      <c r="E3365" s="5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>
      <c r="A3366" s="4"/>
      <c r="B3366" s="2"/>
      <c r="C3366" s="2"/>
      <c r="D3366" s="2"/>
      <c r="E3366" s="5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>
      <c r="A3367" s="4"/>
      <c r="B3367" s="2"/>
      <c r="C3367" s="2"/>
      <c r="D3367" s="2"/>
      <c r="E3367" s="5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>
      <c r="A3368" s="4"/>
      <c r="B3368" s="2"/>
      <c r="C3368" s="2"/>
      <c r="D3368" s="2"/>
      <c r="E3368" s="5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>
      <c r="A3369" s="4"/>
      <c r="B3369" s="2"/>
      <c r="C3369" s="2"/>
      <c r="D3369" s="2"/>
      <c r="E3369" s="5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>
      <c r="A3370" s="4"/>
      <c r="B3370" s="2"/>
      <c r="C3370" s="2"/>
      <c r="D3370" s="2"/>
      <c r="E3370" s="5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>
      <c r="A3371" s="4"/>
      <c r="B3371" s="2"/>
      <c r="C3371" s="2"/>
      <c r="D3371" s="2"/>
      <c r="E3371" s="5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>
      <c r="A3372" s="4"/>
      <c r="B3372" s="2"/>
      <c r="C3372" s="2"/>
      <c r="D3372" s="2"/>
      <c r="E3372" s="5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>
      <c r="A3373" s="4"/>
      <c r="B3373" s="2"/>
      <c r="C3373" s="2"/>
      <c r="D3373" s="2"/>
      <c r="E3373" s="5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>
      <c r="A3374" s="4"/>
      <c r="B3374" s="2"/>
      <c r="C3374" s="2"/>
      <c r="D3374" s="2"/>
      <c r="E3374" s="5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>
      <c r="A3375" s="4"/>
      <c r="B3375" s="2"/>
      <c r="C3375" s="2"/>
      <c r="D3375" s="2"/>
      <c r="E3375" s="5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>
      <c r="A3376" s="4"/>
      <c r="B3376" s="2"/>
      <c r="C3376" s="2"/>
      <c r="D3376" s="2"/>
      <c r="E3376" s="5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>
      <c r="A3377" s="4"/>
      <c r="B3377" s="2"/>
      <c r="C3377" s="2"/>
      <c r="D3377" s="2"/>
      <c r="E3377" s="5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>
      <c r="A3378" s="4"/>
      <c r="B3378" s="2"/>
      <c r="C3378" s="2"/>
      <c r="D3378" s="2"/>
      <c r="E3378" s="5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>
      <c r="A3379" s="4"/>
      <c r="B3379" s="2"/>
      <c r="C3379" s="2"/>
      <c r="D3379" s="2"/>
      <c r="E3379" s="5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>
      <c r="A3380" s="4"/>
      <c r="B3380" s="2"/>
      <c r="C3380" s="2"/>
      <c r="D3380" s="2"/>
      <c r="E3380" s="5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>
      <c r="A3381" s="4"/>
      <c r="B3381" s="2"/>
      <c r="C3381" s="2"/>
      <c r="D3381" s="2"/>
      <c r="E3381" s="5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>
      <c r="A3382" s="4"/>
      <c r="B3382" s="2"/>
      <c r="C3382" s="2"/>
      <c r="D3382" s="2"/>
      <c r="E3382" s="5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>
      <c r="A3383" s="4"/>
      <c r="B3383" s="2"/>
      <c r="C3383" s="2"/>
      <c r="D3383" s="2"/>
      <c r="E3383" s="5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>
      <c r="A3384" s="4"/>
      <c r="B3384" s="2"/>
      <c r="C3384" s="2"/>
      <c r="D3384" s="2"/>
      <c r="E3384" s="5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>
      <c r="A3385" s="4"/>
      <c r="B3385" s="2"/>
      <c r="C3385" s="2"/>
      <c r="D3385" s="2"/>
      <c r="E3385" s="5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>
      <c r="A3386" s="4"/>
      <c r="B3386" s="2"/>
      <c r="C3386" s="2"/>
      <c r="D3386" s="2"/>
      <c r="E3386" s="5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>
      <c r="A3387" s="4"/>
      <c r="B3387" s="2"/>
      <c r="C3387" s="2"/>
      <c r="D3387" s="2"/>
      <c r="E3387" s="5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>
      <c r="A3388" s="4"/>
      <c r="B3388" s="2"/>
      <c r="C3388" s="2"/>
      <c r="D3388" s="2"/>
      <c r="E3388" s="5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>
      <c r="A3389" s="4"/>
      <c r="B3389" s="2"/>
      <c r="C3389" s="2"/>
      <c r="D3389" s="2"/>
      <c r="E3389" s="5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>
      <c r="A3390" s="4"/>
      <c r="B3390" s="2"/>
      <c r="C3390" s="2"/>
      <c r="D3390" s="2"/>
      <c r="E3390" s="5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>
      <c r="A3391" s="4"/>
      <c r="B3391" s="2"/>
      <c r="C3391" s="2"/>
      <c r="D3391" s="2"/>
      <c r="E3391" s="5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>
      <c r="A3392" s="4"/>
      <c r="B3392" s="2"/>
      <c r="C3392" s="2"/>
      <c r="D3392" s="2"/>
      <c r="E3392" s="5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>
      <c r="A3393" s="4"/>
      <c r="B3393" s="2"/>
      <c r="C3393" s="2"/>
      <c r="D3393" s="2"/>
      <c r="E3393" s="5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>
      <c r="A3394" s="4"/>
      <c r="B3394" s="2"/>
      <c r="C3394" s="2"/>
      <c r="D3394" s="2"/>
      <c r="E3394" s="5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>
      <c r="A3395" s="4"/>
      <c r="B3395" s="2"/>
      <c r="C3395" s="2"/>
      <c r="D3395" s="2"/>
      <c r="E3395" s="5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>
      <c r="A3396" s="4"/>
      <c r="B3396" s="2"/>
      <c r="C3396" s="2"/>
      <c r="D3396" s="2"/>
      <c r="E3396" s="5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>
      <c r="A3397" s="4"/>
      <c r="B3397" s="2"/>
      <c r="C3397" s="2"/>
      <c r="D3397" s="2"/>
      <c r="E3397" s="5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>
      <c r="A3398" s="4"/>
      <c r="B3398" s="2"/>
      <c r="C3398" s="2"/>
      <c r="D3398" s="2"/>
      <c r="E3398" s="5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>
      <c r="A3399" s="4"/>
      <c r="B3399" s="2"/>
      <c r="C3399" s="2"/>
      <c r="D3399" s="2"/>
      <c r="E3399" s="5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>
      <c r="A3400" s="4"/>
      <c r="B3400" s="2"/>
      <c r="C3400" s="2"/>
      <c r="D3400" s="2"/>
      <c r="E3400" s="5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>
      <c r="A3401" s="4"/>
      <c r="B3401" s="2"/>
      <c r="C3401" s="2"/>
      <c r="D3401" s="2"/>
      <c r="E3401" s="5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>
      <c r="A3402" s="4"/>
      <c r="B3402" s="2"/>
      <c r="C3402" s="2"/>
      <c r="D3402" s="2"/>
      <c r="E3402" s="5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>
      <c r="A3403" s="4"/>
      <c r="B3403" s="2"/>
      <c r="C3403" s="2"/>
      <c r="D3403" s="2"/>
      <c r="E3403" s="5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>
      <c r="A3404" s="4"/>
      <c r="B3404" s="2"/>
      <c r="C3404" s="2"/>
      <c r="D3404" s="2"/>
      <c r="E3404" s="5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>
      <c r="A3405" s="4"/>
      <c r="B3405" s="2"/>
      <c r="C3405" s="2"/>
      <c r="D3405" s="2"/>
      <c r="E3405" s="5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>
      <c r="A3406" s="4"/>
      <c r="B3406" s="2"/>
      <c r="C3406" s="2"/>
      <c r="D3406" s="2"/>
      <c r="E3406" s="5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>
      <c r="A3407" s="4"/>
      <c r="B3407" s="2"/>
      <c r="C3407" s="2"/>
      <c r="D3407" s="2"/>
      <c r="E3407" s="5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>
      <c r="A3408" s="4"/>
      <c r="B3408" s="2"/>
      <c r="C3408" s="2"/>
      <c r="D3408" s="2"/>
      <c r="E3408" s="5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>
      <c r="A3409" s="4"/>
      <c r="B3409" s="2"/>
      <c r="C3409" s="2"/>
      <c r="D3409" s="2"/>
      <c r="E3409" s="5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>
      <c r="A3410" s="4"/>
      <c r="B3410" s="2"/>
      <c r="C3410" s="2"/>
      <c r="D3410" s="2"/>
      <c r="E3410" s="5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>
      <c r="A3411" s="4"/>
      <c r="B3411" s="2"/>
      <c r="C3411" s="2"/>
      <c r="D3411" s="2"/>
      <c r="E3411" s="5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>
      <c r="A3412" s="4"/>
      <c r="B3412" s="2"/>
      <c r="C3412" s="2"/>
      <c r="D3412" s="2"/>
      <c r="E3412" s="5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>
      <c r="A3413" s="4"/>
      <c r="B3413" s="2"/>
      <c r="C3413" s="2"/>
      <c r="D3413" s="2"/>
      <c r="E3413" s="5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>
      <c r="A3414" s="4"/>
      <c r="B3414" s="2"/>
      <c r="C3414" s="2"/>
      <c r="D3414" s="2"/>
      <c r="E3414" s="5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>
      <c r="A3415" s="4"/>
      <c r="B3415" s="2"/>
      <c r="C3415" s="2"/>
      <c r="D3415" s="2"/>
      <c r="E3415" s="5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>
      <c r="A3416" s="4"/>
      <c r="B3416" s="2"/>
      <c r="C3416" s="2"/>
      <c r="D3416" s="2"/>
      <c r="E3416" s="5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>
      <c r="A3417" s="4"/>
      <c r="B3417" s="2"/>
      <c r="C3417" s="2"/>
      <c r="D3417" s="2"/>
      <c r="E3417" s="5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>
      <c r="A3418" s="4"/>
      <c r="B3418" s="2"/>
      <c r="C3418" s="2"/>
      <c r="D3418" s="2"/>
      <c r="E3418" s="5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>
      <c r="A3419" s="4"/>
      <c r="B3419" s="2"/>
      <c r="C3419" s="2"/>
      <c r="D3419" s="2"/>
      <c r="E3419" s="5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>
      <c r="A3420" s="4"/>
      <c r="B3420" s="2"/>
      <c r="C3420" s="2"/>
      <c r="D3420" s="2"/>
      <c r="E3420" s="5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>
      <c r="A3421" s="4"/>
      <c r="B3421" s="2"/>
      <c r="C3421" s="2"/>
      <c r="D3421" s="2"/>
      <c r="E3421" s="5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>
      <c r="A3422" s="4"/>
      <c r="B3422" s="2"/>
      <c r="C3422" s="2"/>
      <c r="D3422" s="2"/>
      <c r="E3422" s="5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>
      <c r="A3423" s="4"/>
      <c r="B3423" s="2"/>
      <c r="C3423" s="2"/>
      <c r="D3423" s="2"/>
      <c r="E3423" s="5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>
      <c r="A3424" s="4"/>
      <c r="B3424" s="2"/>
      <c r="C3424" s="2"/>
      <c r="D3424" s="2"/>
      <c r="E3424" s="5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>
      <c r="A3425" s="4"/>
      <c r="B3425" s="2"/>
      <c r="C3425" s="2"/>
      <c r="D3425" s="2"/>
      <c r="E3425" s="5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>
      <c r="A3426" s="4"/>
      <c r="B3426" s="2"/>
      <c r="C3426" s="2"/>
      <c r="D3426" s="2"/>
      <c r="E3426" s="5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>
      <c r="A3427" s="4"/>
      <c r="B3427" s="2"/>
      <c r="C3427" s="2"/>
      <c r="D3427" s="2"/>
      <c r="E3427" s="5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>
      <c r="A3428" s="4"/>
      <c r="B3428" s="2"/>
      <c r="C3428" s="2"/>
      <c r="D3428" s="2"/>
      <c r="E3428" s="5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>
      <c r="A3429" s="4"/>
      <c r="B3429" s="2"/>
      <c r="C3429" s="2"/>
      <c r="D3429" s="2"/>
      <c r="E3429" s="5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>
      <c r="A3430" s="4"/>
      <c r="B3430" s="2"/>
      <c r="C3430" s="2"/>
      <c r="D3430" s="2"/>
      <c r="E3430" s="5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>
      <c r="A3431" s="4"/>
      <c r="B3431" s="2"/>
      <c r="C3431" s="2"/>
      <c r="D3431" s="2"/>
      <c r="E3431" s="5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>
      <c r="A3432" s="4"/>
      <c r="B3432" s="2"/>
      <c r="C3432" s="2"/>
      <c r="D3432" s="2"/>
      <c r="E3432" s="5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>
      <c r="A3433" s="4"/>
      <c r="B3433" s="2"/>
      <c r="C3433" s="2"/>
      <c r="D3433" s="2"/>
      <c r="E3433" s="5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>
      <c r="A3434" s="4"/>
      <c r="B3434" s="2"/>
      <c r="C3434" s="2"/>
      <c r="D3434" s="2"/>
      <c r="E3434" s="5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>
      <c r="A3435" s="4"/>
      <c r="B3435" s="2"/>
      <c r="C3435" s="2"/>
      <c r="D3435" s="2"/>
      <c r="E3435" s="5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>
      <c r="A3436" s="4"/>
      <c r="B3436" s="2"/>
      <c r="C3436" s="2"/>
      <c r="D3436" s="2"/>
      <c r="E3436" s="5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>
      <c r="A3437" s="4"/>
      <c r="B3437" s="2"/>
      <c r="C3437" s="2"/>
      <c r="D3437" s="2"/>
      <c r="E3437" s="5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>
      <c r="A3438" s="4"/>
      <c r="B3438" s="2"/>
      <c r="C3438" s="2"/>
      <c r="D3438" s="2"/>
      <c r="E3438" s="5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>
      <c r="A3439" s="4"/>
      <c r="B3439" s="2"/>
      <c r="C3439" s="2"/>
      <c r="D3439" s="2"/>
      <c r="E3439" s="5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>
      <c r="A3440" s="4"/>
      <c r="B3440" s="2"/>
      <c r="C3440" s="2"/>
      <c r="D3440" s="2"/>
      <c r="E3440" s="5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>
      <c r="A3441" s="4"/>
      <c r="B3441" s="2"/>
      <c r="C3441" s="2"/>
      <c r="D3441" s="2"/>
      <c r="E3441" s="5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>
      <c r="A3442" s="4"/>
      <c r="B3442" s="2"/>
      <c r="C3442" s="2"/>
      <c r="D3442" s="2"/>
      <c r="E3442" s="5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>
      <c r="A3443" s="4"/>
      <c r="B3443" s="2"/>
      <c r="C3443" s="2"/>
      <c r="D3443" s="2"/>
      <c r="E3443" s="5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>
      <c r="A3444" s="4"/>
      <c r="B3444" s="2"/>
      <c r="C3444" s="2"/>
      <c r="D3444" s="2"/>
      <c r="E3444" s="5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>
      <c r="A3445" s="4"/>
      <c r="B3445" s="2"/>
      <c r="C3445" s="2"/>
      <c r="D3445" s="2"/>
      <c r="E3445" s="5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>
      <c r="A3446" s="4"/>
      <c r="B3446" s="2"/>
      <c r="C3446" s="2"/>
      <c r="D3446" s="2"/>
      <c r="E3446" s="5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>
      <c r="A3447" s="4"/>
      <c r="B3447" s="2"/>
      <c r="C3447" s="2"/>
      <c r="D3447" s="2"/>
      <c r="E3447" s="5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>
      <c r="A3448" s="4"/>
      <c r="B3448" s="2"/>
      <c r="C3448" s="2"/>
      <c r="D3448" s="2"/>
      <c r="E3448" s="5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>
      <c r="A3449" s="4"/>
      <c r="B3449" s="2"/>
      <c r="C3449" s="2"/>
      <c r="D3449" s="2"/>
      <c r="E3449" s="5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>
      <c r="A3450" s="4"/>
      <c r="B3450" s="2"/>
      <c r="C3450" s="2"/>
      <c r="D3450" s="2"/>
      <c r="E3450" s="5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>
      <c r="A3451" s="4"/>
      <c r="B3451" s="2"/>
      <c r="C3451" s="2"/>
      <c r="D3451" s="2"/>
      <c r="E3451" s="5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>
      <c r="A3452" s="4"/>
      <c r="B3452" s="2"/>
      <c r="C3452" s="2"/>
      <c r="D3452" s="2"/>
      <c r="E3452" s="5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>
      <c r="A3453" s="4"/>
      <c r="B3453" s="2"/>
      <c r="C3453" s="2"/>
      <c r="D3453" s="2"/>
      <c r="E3453" s="5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>
      <c r="A3454" s="4"/>
      <c r="B3454" s="2"/>
      <c r="C3454" s="2"/>
      <c r="D3454" s="2"/>
      <c r="E3454" s="5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>
      <c r="A3455" s="4"/>
      <c r="B3455" s="2"/>
      <c r="C3455" s="2"/>
      <c r="D3455" s="2"/>
      <c r="E3455" s="5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>
      <c r="A3456" s="4"/>
      <c r="B3456" s="2"/>
      <c r="C3456" s="2"/>
      <c r="D3456" s="2"/>
      <c r="E3456" s="5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>
      <c r="A3457" s="4"/>
      <c r="B3457" s="2"/>
      <c r="C3457" s="2"/>
      <c r="D3457" s="2"/>
      <c r="E3457" s="5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>
      <c r="A3458" s="4"/>
      <c r="B3458" s="2"/>
      <c r="C3458" s="2"/>
      <c r="D3458" s="2"/>
      <c r="E3458" s="5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>
      <c r="A3459" s="4"/>
      <c r="B3459" s="2"/>
      <c r="C3459" s="2"/>
      <c r="D3459" s="2"/>
      <c r="E3459" s="5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>
      <c r="A3460" s="4"/>
      <c r="B3460" s="2"/>
      <c r="C3460" s="2"/>
      <c r="D3460" s="2"/>
      <c r="E3460" s="5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>
      <c r="A3461" s="4"/>
      <c r="B3461" s="2"/>
      <c r="C3461" s="2"/>
      <c r="D3461" s="2"/>
      <c r="E3461" s="5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>
      <c r="A3462" s="4"/>
      <c r="B3462" s="2"/>
      <c r="C3462" s="2"/>
      <c r="D3462" s="2"/>
      <c r="E3462" s="5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>
      <c r="A3463" s="4"/>
      <c r="B3463" s="2"/>
      <c r="C3463" s="2"/>
      <c r="D3463" s="2"/>
      <c r="E3463" s="5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>
      <c r="A3464" s="4"/>
      <c r="B3464" s="2"/>
      <c r="C3464" s="2"/>
      <c r="D3464" s="2"/>
      <c r="E3464" s="5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>
      <c r="A3465" s="4"/>
      <c r="B3465" s="2"/>
      <c r="C3465" s="2"/>
      <c r="D3465" s="2"/>
      <c r="E3465" s="5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>
      <c r="A3466" s="4"/>
      <c r="B3466" s="2"/>
      <c r="C3466" s="2"/>
      <c r="D3466" s="2"/>
      <c r="E3466" s="5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>
      <c r="A3467" s="4"/>
      <c r="B3467" s="2"/>
      <c r="C3467" s="2"/>
      <c r="D3467" s="2"/>
      <c r="E3467" s="5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>
      <c r="A3468" s="4"/>
      <c r="B3468" s="2"/>
      <c r="C3468" s="2"/>
      <c r="D3468" s="2"/>
      <c r="E3468" s="5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>
      <c r="A3469" s="4"/>
      <c r="B3469" s="2"/>
      <c r="C3469" s="2"/>
      <c r="D3469" s="2"/>
      <c r="E3469" s="5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>
      <c r="A3470" s="4"/>
      <c r="B3470" s="2"/>
      <c r="C3470" s="2"/>
      <c r="D3470" s="2"/>
      <c r="E3470" s="5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>
      <c r="A3471" s="4"/>
      <c r="B3471" s="2"/>
      <c r="C3471" s="2"/>
      <c r="D3471" s="2"/>
      <c r="E3471" s="5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>
      <c r="A3472" s="4"/>
      <c r="B3472" s="2"/>
      <c r="C3472" s="2"/>
      <c r="D3472" s="2"/>
      <c r="E3472" s="5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>
      <c r="A3473" s="4"/>
      <c r="B3473" s="2"/>
      <c r="C3473" s="2"/>
      <c r="D3473" s="2"/>
      <c r="E3473" s="5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>
      <c r="A3474" s="4"/>
      <c r="B3474" s="2"/>
      <c r="C3474" s="2"/>
      <c r="D3474" s="2"/>
      <c r="E3474" s="5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>
      <c r="A3475" s="4"/>
      <c r="B3475" s="2"/>
      <c r="C3475" s="2"/>
      <c r="D3475" s="2"/>
      <c r="E3475" s="5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>
      <c r="A3476" s="4"/>
      <c r="B3476" s="2"/>
      <c r="C3476" s="2"/>
      <c r="D3476" s="2"/>
      <c r="E3476" s="5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>
      <c r="A3477" s="4"/>
      <c r="B3477" s="2"/>
      <c r="C3477" s="2"/>
      <c r="D3477" s="2"/>
      <c r="E3477" s="5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>
      <c r="A3478" s="4"/>
      <c r="B3478" s="2"/>
      <c r="C3478" s="2"/>
      <c r="D3478" s="2"/>
      <c r="E3478" s="5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>
      <c r="A3479" s="4"/>
      <c r="B3479" s="2"/>
      <c r="C3479" s="2"/>
      <c r="D3479" s="2"/>
      <c r="E3479" s="5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>
      <c r="A3480" s="4"/>
      <c r="B3480" s="2"/>
      <c r="C3480" s="2"/>
      <c r="D3480" s="2"/>
      <c r="E3480" s="5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>
      <c r="A3481" s="4"/>
      <c r="B3481" s="2"/>
      <c r="C3481" s="2"/>
      <c r="D3481" s="2"/>
      <c r="E3481" s="5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>
      <c r="A3482" s="4"/>
      <c r="B3482" s="2"/>
      <c r="C3482" s="2"/>
      <c r="D3482" s="2"/>
      <c r="E3482" s="5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>
      <c r="A3483" s="4"/>
      <c r="B3483" s="2"/>
      <c r="C3483" s="2"/>
      <c r="D3483" s="2"/>
      <c r="E3483" s="5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>
      <c r="A3484" s="4"/>
      <c r="B3484" s="2"/>
      <c r="C3484" s="2"/>
      <c r="D3484" s="2"/>
      <c r="E3484" s="5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>
      <c r="A3485" s="4"/>
      <c r="B3485" s="2"/>
      <c r="C3485" s="2"/>
      <c r="D3485" s="2"/>
      <c r="E3485" s="5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>
      <c r="A3486" s="4"/>
      <c r="B3486" s="2"/>
      <c r="C3486" s="2"/>
      <c r="D3486" s="2"/>
      <c r="E3486" s="5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>
      <c r="A3487" s="4"/>
      <c r="B3487" s="2"/>
      <c r="C3487" s="2"/>
      <c r="D3487" s="2"/>
      <c r="E3487" s="5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>
      <c r="A3488" s="4"/>
      <c r="B3488" s="2"/>
      <c r="C3488" s="2"/>
      <c r="D3488" s="2"/>
      <c r="E3488" s="5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>
      <c r="A3489" s="4"/>
      <c r="B3489" s="2"/>
      <c r="C3489" s="2"/>
      <c r="D3489" s="2"/>
      <c r="E3489" s="5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>
      <c r="A3490" s="4"/>
      <c r="B3490" s="2"/>
      <c r="C3490" s="2"/>
      <c r="D3490" s="2"/>
      <c r="E3490" s="5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>
      <c r="A3491" s="4"/>
      <c r="B3491" s="2"/>
      <c r="C3491" s="2"/>
      <c r="D3491" s="2"/>
      <c r="E3491" s="5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>
      <c r="A3492" s="4"/>
      <c r="B3492" s="2"/>
      <c r="C3492" s="2"/>
      <c r="D3492" s="2"/>
      <c r="E3492" s="5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>
      <c r="A3493" s="4"/>
      <c r="B3493" s="2"/>
      <c r="C3493" s="2"/>
      <c r="D3493" s="2"/>
      <c r="E3493" s="5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>
      <c r="A3494" s="4"/>
      <c r="B3494" s="2"/>
      <c r="C3494" s="2"/>
      <c r="D3494" s="2"/>
      <c r="E3494" s="5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>
      <c r="A3495" s="4"/>
      <c r="B3495" s="2"/>
      <c r="C3495" s="2"/>
      <c r="D3495" s="2"/>
      <c r="E3495" s="5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>
      <c r="A3496" s="4"/>
      <c r="B3496" s="2"/>
      <c r="C3496" s="2"/>
      <c r="D3496" s="2"/>
      <c r="E3496" s="5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>
      <c r="A3497" s="4"/>
      <c r="B3497" s="2"/>
      <c r="C3497" s="2"/>
      <c r="D3497" s="2"/>
      <c r="E3497" s="5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>
      <c r="A3498" s="4"/>
      <c r="B3498" s="2"/>
      <c r="C3498" s="2"/>
      <c r="D3498" s="2"/>
      <c r="E3498" s="5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>
      <c r="A3499" s="4"/>
      <c r="B3499" s="2"/>
      <c r="C3499" s="2"/>
      <c r="D3499" s="2"/>
      <c r="E3499" s="5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>
      <c r="A3500" s="4"/>
      <c r="B3500" s="2"/>
      <c r="C3500" s="2"/>
      <c r="D3500" s="2"/>
      <c r="E3500" s="5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>
      <c r="A3501" s="4"/>
      <c r="B3501" s="2"/>
      <c r="C3501" s="2"/>
      <c r="D3501" s="2"/>
      <c r="E3501" s="5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>
      <c r="A3502" s="4"/>
      <c r="B3502" s="2"/>
      <c r="C3502" s="2"/>
      <c r="D3502" s="2"/>
      <c r="E3502" s="5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>
      <c r="A3503" s="4"/>
      <c r="B3503" s="2"/>
      <c r="C3503" s="2"/>
      <c r="D3503" s="2"/>
      <c r="E3503" s="5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>
      <c r="A3504" s="4"/>
      <c r="B3504" s="2"/>
      <c r="C3504" s="2"/>
      <c r="D3504" s="2"/>
      <c r="E3504" s="5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>
      <c r="A3505" s="4"/>
      <c r="B3505" s="2"/>
      <c r="C3505" s="2"/>
      <c r="D3505" s="2"/>
      <c r="E3505" s="5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>
      <c r="A3506" s="4"/>
      <c r="B3506" s="2"/>
      <c r="C3506" s="2"/>
      <c r="D3506" s="2"/>
      <c r="E3506" s="5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>
      <c r="A3507" s="4"/>
      <c r="B3507" s="2"/>
      <c r="C3507" s="2"/>
      <c r="D3507" s="2"/>
      <c r="E3507" s="5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>
      <c r="A3508" s="4"/>
      <c r="B3508" s="2"/>
      <c r="C3508" s="2"/>
      <c r="D3508" s="2"/>
      <c r="E3508" s="5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>
      <c r="A3509" s="4"/>
      <c r="B3509" s="2"/>
      <c r="C3509" s="2"/>
      <c r="D3509" s="2"/>
      <c r="E3509" s="5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>
      <c r="A3510" s="4"/>
      <c r="B3510" s="2"/>
      <c r="C3510" s="2"/>
      <c r="D3510" s="2"/>
      <c r="E3510" s="5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>
      <c r="A3511" s="4"/>
      <c r="B3511" s="2"/>
      <c r="C3511" s="2"/>
      <c r="D3511" s="2"/>
      <c r="E3511" s="5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>
      <c r="A3512" s="4"/>
      <c r="B3512" s="2"/>
      <c r="C3512" s="2"/>
      <c r="D3512" s="2"/>
      <c r="E3512" s="5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>
      <c r="A3513" s="4"/>
      <c r="B3513" s="2"/>
      <c r="C3513" s="2"/>
      <c r="D3513" s="2"/>
      <c r="E3513" s="5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>
      <c r="A3514" s="4"/>
      <c r="B3514" s="2"/>
      <c r="C3514" s="2"/>
      <c r="D3514" s="2"/>
      <c r="E3514" s="5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>
      <c r="A3515" s="4"/>
      <c r="B3515" s="2"/>
      <c r="C3515" s="2"/>
      <c r="D3515" s="2"/>
      <c r="E3515" s="5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>
      <c r="A3516" s="4"/>
      <c r="B3516" s="2"/>
      <c r="C3516" s="2"/>
      <c r="D3516" s="2"/>
      <c r="E3516" s="5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>
      <c r="A3517" s="4"/>
      <c r="B3517" s="2"/>
      <c r="C3517" s="2"/>
      <c r="D3517" s="2"/>
      <c r="E3517" s="5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>
      <c r="A3518" s="4"/>
      <c r="B3518" s="2"/>
      <c r="C3518" s="2"/>
      <c r="D3518" s="2"/>
      <c r="E3518" s="5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>
      <c r="A3519" s="4"/>
      <c r="B3519" s="2"/>
      <c r="C3519" s="2"/>
      <c r="D3519" s="2"/>
      <c r="E3519" s="5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>
      <c r="A3520" s="4"/>
      <c r="B3520" s="2"/>
      <c r="C3520" s="2"/>
      <c r="D3520" s="2"/>
      <c r="E3520" s="5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>
      <c r="A3521" s="4"/>
      <c r="B3521" s="2"/>
      <c r="C3521" s="2"/>
      <c r="D3521" s="2"/>
      <c r="E3521" s="5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>
      <c r="A3522" s="4"/>
      <c r="B3522" s="2"/>
      <c r="C3522" s="2"/>
      <c r="D3522" s="2"/>
      <c r="E3522" s="5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>
      <c r="A3523" s="4"/>
      <c r="B3523" s="2"/>
      <c r="C3523" s="2"/>
      <c r="D3523" s="2"/>
      <c r="E3523" s="5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>
      <c r="A3524" s="4"/>
      <c r="B3524" s="2"/>
      <c r="C3524" s="2"/>
      <c r="D3524" s="2"/>
      <c r="E3524" s="5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>
      <c r="A3525" s="4"/>
      <c r="B3525" s="2"/>
      <c r="C3525" s="2"/>
      <c r="D3525" s="2"/>
      <c r="E3525" s="5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>
      <c r="A3526" s="4"/>
      <c r="B3526" s="2"/>
      <c r="C3526" s="2"/>
      <c r="D3526" s="2"/>
      <c r="E3526" s="5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>
      <c r="A3527" s="4"/>
      <c r="B3527" s="2"/>
      <c r="C3527" s="2"/>
      <c r="D3527" s="2"/>
      <c r="E3527" s="5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>
      <c r="A3528" s="4"/>
      <c r="B3528" s="2"/>
      <c r="C3528" s="2"/>
      <c r="D3528" s="2"/>
      <c r="E3528" s="5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>
      <c r="A3529" s="4"/>
      <c r="B3529" s="2"/>
      <c r="C3529" s="2"/>
      <c r="D3529" s="2"/>
      <c r="E3529" s="5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>
      <c r="A3530" s="4"/>
      <c r="B3530" s="2"/>
      <c r="C3530" s="2"/>
      <c r="D3530" s="2"/>
      <c r="E3530" s="5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>
      <c r="A3531" s="4"/>
      <c r="B3531" s="2"/>
      <c r="C3531" s="2"/>
      <c r="D3531" s="2"/>
      <c r="E3531" s="5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>
      <c r="A3532" s="4"/>
      <c r="B3532" s="2"/>
      <c r="C3532" s="2"/>
      <c r="D3532" s="2"/>
      <c r="E3532" s="5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>
      <c r="A3533" s="4"/>
      <c r="B3533" s="2"/>
      <c r="C3533" s="2"/>
      <c r="D3533" s="2"/>
      <c r="E3533" s="5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>
      <c r="A3534" s="4"/>
      <c r="B3534" s="2"/>
      <c r="C3534" s="2"/>
      <c r="D3534" s="2"/>
      <c r="E3534" s="5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>
      <c r="A3535" s="4"/>
      <c r="B3535" s="2"/>
      <c r="C3535" s="2"/>
      <c r="D3535" s="2"/>
      <c r="E3535" s="5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>
      <c r="A3536" s="4"/>
      <c r="B3536" s="2"/>
      <c r="C3536" s="2"/>
      <c r="D3536" s="2"/>
      <c r="E3536" s="5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>
      <c r="A3537" s="4"/>
      <c r="B3537" s="2"/>
      <c r="C3537" s="2"/>
      <c r="D3537" s="2"/>
      <c r="E3537" s="5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>
      <c r="A3538" s="4"/>
      <c r="B3538" s="2"/>
      <c r="C3538" s="2"/>
      <c r="D3538" s="2"/>
      <c r="E3538" s="5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>
      <c r="A3539" s="4"/>
      <c r="B3539" s="2"/>
      <c r="C3539" s="2"/>
      <c r="D3539" s="2"/>
      <c r="E3539" s="5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>
      <c r="A3540" s="4"/>
      <c r="B3540" s="2"/>
      <c r="C3540" s="2"/>
      <c r="D3540" s="2"/>
      <c r="E3540" s="5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>
      <c r="A3541" s="4"/>
      <c r="B3541" s="2"/>
      <c r="C3541" s="2"/>
      <c r="D3541" s="2"/>
      <c r="E3541" s="5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>
      <c r="A3542" s="4"/>
      <c r="B3542" s="2"/>
      <c r="C3542" s="2"/>
      <c r="D3542" s="2"/>
      <c r="E3542" s="5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>
      <c r="A3543" s="4"/>
      <c r="B3543" s="2"/>
      <c r="C3543" s="2"/>
      <c r="D3543" s="2"/>
      <c r="E3543" s="5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>
      <c r="A3544" s="4"/>
      <c r="B3544" s="2"/>
      <c r="C3544" s="2"/>
      <c r="D3544" s="2"/>
      <c r="E3544" s="5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>
      <c r="A3545" s="4"/>
      <c r="B3545" s="2"/>
      <c r="C3545" s="2"/>
      <c r="D3545" s="2"/>
      <c r="E3545" s="5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>
      <c r="A3546" s="4"/>
      <c r="B3546" s="2"/>
      <c r="C3546" s="2"/>
      <c r="D3546" s="2"/>
      <c r="E3546" s="5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>
      <c r="A3547" s="4"/>
      <c r="B3547" s="2"/>
      <c r="C3547" s="2"/>
      <c r="D3547" s="2"/>
      <c r="E3547" s="5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>
      <c r="A3548" s="4"/>
      <c r="B3548" s="2"/>
      <c r="C3548" s="2"/>
      <c r="D3548" s="2"/>
      <c r="E3548" s="5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>
      <c r="A3549" s="4"/>
      <c r="B3549" s="2"/>
      <c r="C3549" s="2"/>
      <c r="D3549" s="2"/>
      <c r="E3549" s="5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>
      <c r="A3550" s="4"/>
      <c r="B3550" s="2"/>
      <c r="C3550" s="2"/>
      <c r="D3550" s="2"/>
      <c r="E3550" s="5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>
      <c r="A3551" s="4"/>
      <c r="B3551" s="2"/>
      <c r="C3551" s="2"/>
      <c r="D3551" s="2"/>
      <c r="E3551" s="5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>
      <c r="A3552" s="4"/>
      <c r="B3552" s="2"/>
      <c r="C3552" s="2"/>
      <c r="D3552" s="2"/>
      <c r="E3552" s="5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>
      <c r="A3553" s="4"/>
      <c r="B3553" s="2"/>
      <c r="C3553" s="2"/>
      <c r="D3553" s="2"/>
      <c r="E3553" s="5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>
      <c r="A3554" s="4"/>
      <c r="B3554" s="2"/>
      <c r="C3554" s="2"/>
      <c r="D3554" s="2"/>
      <c r="E3554" s="5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>
      <c r="A3555" s="4"/>
      <c r="B3555" s="2"/>
      <c r="C3555" s="2"/>
      <c r="D3555" s="2"/>
      <c r="E3555" s="5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>
      <c r="A3556" s="4"/>
      <c r="B3556" s="2"/>
      <c r="C3556" s="2"/>
      <c r="D3556" s="2"/>
      <c r="E3556" s="5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>
      <c r="A3557" s="4"/>
      <c r="B3557" s="2"/>
      <c r="C3557" s="2"/>
      <c r="D3557" s="2"/>
      <c r="E3557" s="5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>
      <c r="A3558" s="4"/>
      <c r="B3558" s="2"/>
      <c r="C3558" s="2"/>
      <c r="D3558" s="2"/>
      <c r="E3558" s="5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>
      <c r="A3559" s="4"/>
      <c r="B3559" s="2"/>
      <c r="C3559" s="2"/>
      <c r="D3559" s="2"/>
      <c r="E3559" s="5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>
      <c r="A3560" s="4"/>
      <c r="B3560" s="2"/>
      <c r="C3560" s="2"/>
      <c r="D3560" s="2"/>
      <c r="E3560" s="5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>
      <c r="A3561" s="4"/>
      <c r="B3561" s="2"/>
      <c r="C3561" s="2"/>
      <c r="D3561" s="2"/>
      <c r="E3561" s="5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>
      <c r="A3562" s="4"/>
      <c r="B3562" s="2"/>
      <c r="C3562" s="2"/>
      <c r="D3562" s="2"/>
      <c r="E3562" s="5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>
      <c r="A3563" s="4"/>
      <c r="B3563" s="2"/>
      <c r="C3563" s="2"/>
      <c r="D3563" s="2"/>
      <c r="E3563" s="5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>
      <c r="A3564" s="4"/>
      <c r="B3564" s="2"/>
      <c r="C3564" s="2"/>
      <c r="D3564" s="2"/>
      <c r="E3564" s="5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>
      <c r="A3565" s="4"/>
      <c r="B3565" s="2"/>
      <c r="C3565" s="2"/>
      <c r="D3565" s="2"/>
      <c r="E3565" s="5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>
      <c r="A3566" s="4"/>
      <c r="B3566" s="2"/>
      <c r="C3566" s="2"/>
      <c r="D3566" s="2"/>
      <c r="E3566" s="5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>
      <c r="A3567" s="4"/>
      <c r="B3567" s="2"/>
      <c r="C3567" s="2"/>
      <c r="D3567" s="2"/>
      <c r="E3567" s="5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>
      <c r="A3568" s="4"/>
      <c r="B3568" s="2"/>
      <c r="C3568" s="2"/>
      <c r="D3568" s="2"/>
      <c r="E3568" s="5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>
      <c r="A3569" s="4"/>
      <c r="B3569" s="2"/>
      <c r="C3569" s="2"/>
      <c r="D3569" s="2"/>
      <c r="E3569" s="5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>
      <c r="A3570" s="4"/>
      <c r="B3570" s="2"/>
      <c r="C3570" s="2"/>
      <c r="D3570" s="2"/>
      <c r="E3570" s="5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>
      <c r="A3571" s="4"/>
      <c r="B3571" s="2"/>
      <c r="C3571" s="2"/>
      <c r="D3571" s="2"/>
      <c r="E3571" s="5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>
      <c r="A3572" s="4"/>
      <c r="B3572" s="2"/>
      <c r="C3572" s="2"/>
      <c r="D3572" s="2"/>
      <c r="E3572" s="5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>
      <c r="A3573" s="4"/>
      <c r="B3573" s="2"/>
      <c r="C3573" s="2"/>
      <c r="D3573" s="2"/>
      <c r="E3573" s="5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>
      <c r="A3574" s="4"/>
      <c r="B3574" s="2"/>
      <c r="C3574" s="2"/>
      <c r="D3574" s="2"/>
      <c r="E3574" s="5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>
      <c r="A3575" s="4"/>
      <c r="B3575" s="2"/>
      <c r="C3575" s="2"/>
      <c r="D3575" s="2"/>
      <c r="E3575" s="5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>
      <c r="A3576" s="4"/>
      <c r="B3576" s="2"/>
      <c r="C3576" s="2"/>
      <c r="D3576" s="2"/>
      <c r="E3576" s="5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>
      <c r="A3577" s="4"/>
      <c r="B3577" s="2"/>
      <c r="C3577" s="2"/>
      <c r="D3577" s="2"/>
      <c r="E3577" s="5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>
      <c r="A3578" s="4"/>
      <c r="B3578" s="2"/>
      <c r="C3578" s="2"/>
      <c r="D3578" s="2"/>
      <c r="E3578" s="5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>
      <c r="A3579" s="4"/>
      <c r="B3579" s="2"/>
      <c r="C3579" s="2"/>
      <c r="D3579" s="2"/>
      <c r="E3579" s="5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>
      <c r="A3580" s="4"/>
      <c r="B3580" s="2"/>
      <c r="C3580" s="2"/>
      <c r="D3580" s="2"/>
      <c r="E3580" s="5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>
      <c r="A3581" s="4"/>
      <c r="B3581" s="2"/>
      <c r="C3581" s="2"/>
      <c r="D3581" s="2"/>
      <c r="E3581" s="5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>
      <c r="A3582" s="4"/>
      <c r="B3582" s="2"/>
      <c r="C3582" s="2"/>
      <c r="D3582" s="2"/>
      <c r="E3582" s="5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>
      <c r="A3583" s="4"/>
      <c r="B3583" s="2"/>
      <c r="C3583" s="2"/>
      <c r="D3583" s="2"/>
      <c r="E3583" s="5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>
      <c r="A3584" s="4"/>
      <c r="B3584" s="2"/>
      <c r="C3584" s="2"/>
      <c r="D3584" s="2"/>
      <c r="E3584" s="5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>
      <c r="A3585" s="4"/>
      <c r="B3585" s="2"/>
      <c r="C3585" s="2"/>
      <c r="D3585" s="2"/>
      <c r="E3585" s="5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>
      <c r="A3586" s="4"/>
      <c r="B3586" s="2"/>
      <c r="C3586" s="2"/>
      <c r="D3586" s="2"/>
      <c r="E3586" s="5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>
      <c r="A3587" s="4"/>
      <c r="B3587" s="2"/>
      <c r="C3587" s="2"/>
      <c r="D3587" s="2"/>
      <c r="E3587" s="5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>
      <c r="A3588" s="4"/>
      <c r="B3588" s="2"/>
      <c r="C3588" s="2"/>
      <c r="D3588" s="2"/>
      <c r="E3588" s="5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>
      <c r="A3589" s="4"/>
      <c r="B3589" s="2"/>
      <c r="C3589" s="2"/>
      <c r="D3589" s="2"/>
      <c r="E3589" s="5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>
      <c r="A3590" s="4"/>
      <c r="B3590" s="2"/>
      <c r="C3590" s="2"/>
      <c r="D3590" s="2"/>
      <c r="E3590" s="5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>
      <c r="A3591" s="4"/>
      <c r="B3591" s="2"/>
      <c r="C3591" s="2"/>
      <c r="D3591" s="2"/>
      <c r="E3591" s="5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>
      <c r="A3592" s="4"/>
      <c r="B3592" s="2"/>
      <c r="C3592" s="2"/>
      <c r="D3592" s="2"/>
      <c r="E3592" s="5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>
      <c r="A3593" s="4"/>
      <c r="B3593" s="2"/>
      <c r="C3593" s="2"/>
      <c r="D3593" s="2"/>
      <c r="E3593" s="5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>
      <c r="A3594" s="4"/>
      <c r="B3594" s="2"/>
      <c r="C3594" s="2"/>
      <c r="D3594" s="2"/>
      <c r="E3594" s="5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>
      <c r="A3595" s="4"/>
      <c r="B3595" s="2"/>
      <c r="C3595" s="2"/>
      <c r="D3595" s="2"/>
      <c r="E3595" s="5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>
      <c r="A3596" s="4"/>
      <c r="B3596" s="2"/>
      <c r="C3596" s="2"/>
      <c r="D3596" s="2"/>
      <c r="E3596" s="5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>
      <c r="A3597" s="4"/>
      <c r="B3597" s="2"/>
      <c r="C3597" s="2"/>
      <c r="D3597" s="2"/>
      <c r="E3597" s="5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>
      <c r="A3598" s="4"/>
      <c r="B3598" s="2"/>
      <c r="C3598" s="2"/>
      <c r="D3598" s="2"/>
      <c r="E3598" s="5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>
      <c r="A3599" s="4"/>
      <c r="B3599" s="2"/>
      <c r="C3599" s="2"/>
      <c r="D3599" s="2"/>
      <c r="E3599" s="5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>
      <c r="A3600" s="4"/>
      <c r="B3600" s="2"/>
      <c r="C3600" s="2"/>
      <c r="D3600" s="2"/>
      <c r="E3600" s="5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>
      <c r="A3601" s="4"/>
      <c r="B3601" s="2"/>
      <c r="C3601" s="2"/>
      <c r="D3601" s="2"/>
      <c r="E3601" s="5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>
      <c r="A3602" s="4"/>
      <c r="B3602" s="2"/>
      <c r="C3602" s="2"/>
      <c r="D3602" s="2"/>
      <c r="E3602" s="5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>
      <c r="A3603" s="4"/>
      <c r="B3603" s="2"/>
      <c r="C3603" s="2"/>
      <c r="D3603" s="2"/>
      <c r="E3603" s="5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>
      <c r="A3604" s="4"/>
      <c r="B3604" s="2"/>
      <c r="C3604" s="2"/>
      <c r="D3604" s="2"/>
      <c r="E3604" s="5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>
      <c r="A3605" s="4"/>
      <c r="B3605" s="2"/>
      <c r="C3605" s="2"/>
      <c r="D3605" s="2"/>
      <c r="E3605" s="5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>
      <c r="A3606" s="4"/>
      <c r="B3606" s="2"/>
      <c r="C3606" s="2"/>
      <c r="D3606" s="2"/>
      <c r="E3606" s="5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>
      <c r="A3607" s="4"/>
      <c r="B3607" s="2"/>
      <c r="C3607" s="2"/>
      <c r="D3607" s="2"/>
      <c r="E3607" s="5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>
      <c r="A3608" s="4"/>
      <c r="B3608" s="2"/>
      <c r="C3608" s="2"/>
      <c r="D3608" s="2"/>
      <c r="E3608" s="5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>
      <c r="A3609" s="4"/>
      <c r="B3609" s="2"/>
      <c r="C3609" s="2"/>
      <c r="D3609" s="2"/>
      <c r="E3609" s="5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>
      <c r="A3610" s="4"/>
      <c r="B3610" s="2"/>
      <c r="C3610" s="2"/>
      <c r="D3610" s="2"/>
      <c r="E3610" s="5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>
      <c r="A3611" s="4"/>
      <c r="B3611" s="2"/>
      <c r="C3611" s="2"/>
      <c r="D3611" s="2"/>
      <c r="E3611" s="5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>
      <c r="A3612" s="4"/>
      <c r="B3612" s="2"/>
      <c r="C3612" s="2"/>
      <c r="D3612" s="2"/>
      <c r="E3612" s="5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>
      <c r="A3613" s="4"/>
      <c r="B3613" s="2"/>
      <c r="C3613" s="2"/>
      <c r="D3613" s="2"/>
      <c r="E3613" s="5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>
      <c r="A3614" s="4"/>
      <c r="B3614" s="2"/>
      <c r="C3614" s="2"/>
      <c r="D3614" s="2"/>
      <c r="E3614" s="5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>
      <c r="A3615" s="4"/>
      <c r="B3615" s="2"/>
      <c r="C3615" s="2"/>
      <c r="D3615" s="2"/>
      <c r="E3615" s="5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>
      <c r="A3616" s="4"/>
      <c r="B3616" s="2"/>
      <c r="C3616" s="2"/>
      <c r="D3616" s="2"/>
      <c r="E3616" s="5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>
      <c r="A3617" s="4"/>
      <c r="B3617" s="2"/>
      <c r="C3617" s="2"/>
      <c r="D3617" s="2"/>
      <c r="E3617" s="5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>
      <c r="A3618" s="4"/>
      <c r="B3618" s="2"/>
      <c r="C3618" s="2"/>
      <c r="D3618" s="2"/>
      <c r="E3618" s="5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>
      <c r="A3619" s="4"/>
      <c r="B3619" s="2"/>
      <c r="C3619" s="2"/>
      <c r="D3619" s="2"/>
      <c r="E3619" s="5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>
      <c r="A3620" s="4"/>
      <c r="B3620" s="2"/>
      <c r="C3620" s="2"/>
      <c r="D3620" s="2"/>
      <c r="E3620" s="5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>
      <c r="A3621" s="4"/>
      <c r="B3621" s="2"/>
      <c r="C3621" s="2"/>
      <c r="D3621" s="2"/>
      <c r="E3621" s="5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>
      <c r="A3622" s="4"/>
      <c r="B3622" s="2"/>
      <c r="C3622" s="2"/>
      <c r="D3622" s="2"/>
      <c r="E3622" s="5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>
      <c r="A3623" s="4"/>
      <c r="B3623" s="2"/>
      <c r="C3623" s="2"/>
      <c r="D3623" s="2"/>
      <c r="E3623" s="5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>
      <c r="A3624" s="4"/>
      <c r="B3624" s="2"/>
      <c r="C3624" s="2"/>
      <c r="D3624" s="2"/>
      <c r="E3624" s="5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>
      <c r="A3625" s="4"/>
      <c r="B3625" s="2"/>
      <c r="C3625" s="2"/>
      <c r="D3625" s="2"/>
      <c r="E3625" s="5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>
      <c r="A3626" s="4"/>
      <c r="B3626" s="2"/>
      <c r="C3626" s="2"/>
      <c r="D3626" s="2"/>
      <c r="E3626" s="5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>
      <c r="A3627" s="4"/>
      <c r="B3627" s="2"/>
      <c r="C3627" s="2"/>
      <c r="D3627" s="2"/>
      <c r="E3627" s="5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>
      <c r="A3628" s="4"/>
      <c r="B3628" s="2"/>
      <c r="C3628" s="2"/>
      <c r="D3628" s="2"/>
      <c r="E3628" s="5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>
      <c r="A3629" s="4"/>
      <c r="B3629" s="2"/>
      <c r="C3629" s="2"/>
      <c r="D3629" s="2"/>
      <c r="E3629" s="5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>
      <c r="A3630" s="4"/>
      <c r="B3630" s="2"/>
      <c r="C3630" s="2"/>
      <c r="D3630" s="2"/>
      <c r="E3630" s="5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>
      <c r="A3631" s="4"/>
      <c r="B3631" s="2"/>
      <c r="C3631" s="2"/>
      <c r="D3631" s="2"/>
      <c r="E3631" s="5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>
      <c r="A3632" s="4"/>
      <c r="B3632" s="2"/>
      <c r="C3632" s="2"/>
      <c r="D3632" s="2"/>
      <c r="E3632" s="5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>
      <c r="A3633" s="4"/>
      <c r="B3633" s="2"/>
      <c r="C3633" s="2"/>
      <c r="D3633" s="2"/>
      <c r="E3633" s="5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>
      <c r="A3634" s="4"/>
      <c r="B3634" s="2"/>
      <c r="C3634" s="2"/>
      <c r="D3634" s="2"/>
      <c r="E3634" s="5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>
      <c r="A3635" s="4"/>
      <c r="B3635" s="2"/>
      <c r="C3635" s="2"/>
      <c r="D3635" s="2"/>
      <c r="E3635" s="5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>
      <c r="A3636" s="4"/>
      <c r="B3636" s="2"/>
      <c r="C3636" s="2"/>
      <c r="D3636" s="2"/>
      <c r="E3636" s="5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>
      <c r="A3637" s="4"/>
      <c r="B3637" s="2"/>
      <c r="C3637" s="2"/>
      <c r="D3637" s="2"/>
      <c r="E3637" s="5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>
      <c r="A3638" s="4"/>
      <c r="B3638" s="2"/>
      <c r="C3638" s="2"/>
      <c r="D3638" s="2"/>
      <c r="E3638" s="5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>
      <c r="A3639" s="4"/>
      <c r="B3639" s="2"/>
      <c r="C3639" s="2"/>
      <c r="D3639" s="2"/>
      <c r="E3639" s="5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>
      <c r="A3640" s="4"/>
      <c r="B3640" s="2"/>
      <c r="C3640" s="2"/>
      <c r="D3640" s="2"/>
      <c r="E3640" s="5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>
      <c r="A3641" s="4"/>
      <c r="B3641" s="2"/>
      <c r="C3641" s="2"/>
      <c r="D3641" s="2"/>
      <c r="E3641" s="5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>
      <c r="A3642" s="4"/>
      <c r="B3642" s="2"/>
      <c r="C3642" s="2"/>
      <c r="D3642" s="2"/>
      <c r="E3642" s="5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>
      <c r="A3643" s="4"/>
      <c r="B3643" s="2"/>
      <c r="C3643" s="2"/>
      <c r="D3643" s="2"/>
      <c r="E3643" s="5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>
      <c r="A3644" s="4"/>
      <c r="B3644" s="2"/>
      <c r="C3644" s="2"/>
      <c r="D3644" s="2"/>
      <c r="E3644" s="5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>
      <c r="A3645" s="4"/>
      <c r="B3645" s="2"/>
      <c r="C3645" s="2"/>
      <c r="D3645" s="2"/>
      <c r="E3645" s="5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>
      <c r="A3646" s="4"/>
      <c r="B3646" s="2"/>
      <c r="C3646" s="2"/>
      <c r="D3646" s="2"/>
      <c r="E3646" s="5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>
      <c r="A3647" s="4"/>
      <c r="B3647" s="2"/>
      <c r="C3647" s="2"/>
      <c r="D3647" s="2"/>
      <c r="E3647" s="5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>
      <c r="A3648" s="4"/>
      <c r="B3648" s="2"/>
      <c r="C3648" s="2"/>
      <c r="D3648" s="2"/>
      <c r="E3648" s="5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>
      <c r="A3649" s="4"/>
      <c r="B3649" s="2"/>
      <c r="C3649" s="2"/>
      <c r="D3649" s="2"/>
      <c r="E3649" s="5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>
      <c r="A3650" s="4"/>
      <c r="B3650" s="2"/>
      <c r="C3650" s="2"/>
      <c r="D3650" s="2"/>
      <c r="E3650" s="5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>
      <c r="A3651" s="4"/>
      <c r="B3651" s="2"/>
      <c r="C3651" s="2"/>
      <c r="D3651" s="2"/>
      <c r="E3651" s="5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>
      <c r="A3652" s="4"/>
      <c r="B3652" s="2"/>
      <c r="C3652" s="2"/>
      <c r="D3652" s="2"/>
      <c r="E3652" s="5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>
      <c r="A3653" s="4"/>
      <c r="B3653" s="2"/>
      <c r="C3653" s="2"/>
      <c r="D3653" s="2"/>
      <c r="E3653" s="5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>
      <c r="A3654" s="4"/>
      <c r="B3654" s="2"/>
      <c r="C3654" s="2"/>
      <c r="D3654" s="2"/>
      <c r="E3654" s="5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>
      <c r="A3655" s="4"/>
      <c r="B3655" s="2"/>
      <c r="C3655" s="2"/>
      <c r="D3655" s="2"/>
      <c r="E3655" s="5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>
      <c r="A3656" s="4"/>
      <c r="B3656" s="2"/>
      <c r="C3656" s="2"/>
      <c r="D3656" s="2"/>
      <c r="E3656" s="5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>
      <c r="A3657" s="4"/>
      <c r="B3657" s="2"/>
      <c r="C3657" s="2"/>
      <c r="D3657" s="2"/>
      <c r="E3657" s="5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>
      <c r="A3658" s="4"/>
      <c r="B3658" s="2"/>
      <c r="C3658" s="2"/>
      <c r="D3658" s="2"/>
      <c r="E3658" s="5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>
      <c r="A3659" s="4"/>
      <c r="B3659" s="2"/>
      <c r="C3659" s="2"/>
      <c r="D3659" s="2"/>
      <c r="E3659" s="5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>
      <c r="A3660" s="4"/>
      <c r="B3660" s="2"/>
      <c r="C3660" s="2"/>
      <c r="D3660" s="2"/>
      <c r="E3660" s="5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>
      <c r="A3661" s="4"/>
      <c r="B3661" s="2"/>
      <c r="C3661" s="2"/>
      <c r="D3661" s="2"/>
      <c r="E3661" s="5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>
      <c r="A3662" s="4"/>
      <c r="B3662" s="2"/>
      <c r="C3662" s="2"/>
      <c r="D3662" s="2"/>
      <c r="E3662" s="5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>
      <c r="A3663" s="4"/>
      <c r="B3663" s="2"/>
      <c r="C3663" s="2"/>
      <c r="D3663" s="2"/>
      <c r="E3663" s="5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>
      <c r="A3664" s="4"/>
      <c r="B3664" s="2"/>
      <c r="C3664" s="2"/>
      <c r="D3664" s="2"/>
      <c r="E3664" s="5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>
      <c r="A3665" s="4"/>
      <c r="B3665" s="2"/>
      <c r="C3665" s="2"/>
      <c r="D3665" s="2"/>
      <c r="E3665" s="5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>
      <c r="A3666" s="4"/>
      <c r="B3666" s="2"/>
      <c r="C3666" s="2"/>
      <c r="D3666" s="2"/>
      <c r="E3666" s="5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>
      <c r="A3667" s="4"/>
      <c r="B3667" s="2"/>
      <c r="C3667" s="2"/>
      <c r="D3667" s="2"/>
      <c r="E3667" s="5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>
      <c r="A3668" s="4"/>
      <c r="B3668" s="2"/>
      <c r="C3668" s="2"/>
      <c r="D3668" s="2"/>
      <c r="E3668" s="5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>
      <c r="A3669" s="4"/>
      <c r="B3669" s="2"/>
      <c r="C3669" s="2"/>
      <c r="D3669" s="2"/>
      <c r="E3669" s="5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>
      <c r="A3670" s="4"/>
      <c r="B3670" s="2"/>
      <c r="C3670" s="2"/>
      <c r="D3670" s="2"/>
      <c r="E3670" s="5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>
      <c r="A3671" s="4"/>
      <c r="B3671" s="2"/>
      <c r="C3671" s="2"/>
      <c r="D3671" s="2"/>
      <c r="E3671" s="5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>
      <c r="A3672" s="4"/>
      <c r="B3672" s="2"/>
      <c r="C3672" s="2"/>
      <c r="D3672" s="2"/>
      <c r="E3672" s="5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>
      <c r="A3673" s="4"/>
      <c r="B3673" s="2"/>
      <c r="C3673" s="2"/>
      <c r="D3673" s="2"/>
      <c r="E3673" s="5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>
      <c r="A3674" s="4"/>
      <c r="B3674" s="2"/>
      <c r="C3674" s="2"/>
      <c r="D3674" s="2"/>
      <c r="E3674" s="5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>
      <c r="A3675" s="4"/>
      <c r="B3675" s="2"/>
      <c r="C3675" s="2"/>
      <c r="D3675" s="2"/>
      <c r="E3675" s="5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>
      <c r="A3676" s="4"/>
      <c r="B3676" s="2"/>
      <c r="C3676" s="2"/>
      <c r="D3676" s="2"/>
      <c r="E3676" s="5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>
      <c r="A3677" s="4"/>
      <c r="B3677" s="2"/>
      <c r="C3677" s="2"/>
      <c r="D3677" s="2"/>
      <c r="E3677" s="5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>
      <c r="A3678" s="4"/>
      <c r="B3678" s="2"/>
      <c r="C3678" s="2"/>
      <c r="D3678" s="2"/>
      <c r="E3678" s="5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>
      <c r="A3679" s="4"/>
      <c r="B3679" s="2"/>
      <c r="C3679" s="2"/>
      <c r="D3679" s="2"/>
      <c r="E3679" s="5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>
      <c r="A3680" s="4"/>
      <c r="B3680" s="2"/>
      <c r="C3680" s="2"/>
      <c r="D3680" s="2"/>
      <c r="E3680" s="5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>
      <c r="A3681" s="4"/>
      <c r="B3681" s="2"/>
      <c r="C3681" s="2"/>
      <c r="D3681" s="2"/>
      <c r="E3681" s="5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>
      <c r="A3682" s="4"/>
      <c r="B3682" s="2"/>
      <c r="C3682" s="2"/>
      <c r="D3682" s="2"/>
      <c r="E3682" s="5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>
      <c r="A3683" s="4"/>
      <c r="B3683" s="2"/>
      <c r="C3683" s="2"/>
      <c r="D3683" s="2"/>
      <c r="E3683" s="5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>
      <c r="A3684" s="4"/>
      <c r="B3684" s="2"/>
      <c r="C3684" s="2"/>
      <c r="D3684" s="2"/>
      <c r="E3684" s="5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>
      <c r="A3685" s="4"/>
      <c r="B3685" s="2"/>
      <c r="C3685" s="2"/>
      <c r="D3685" s="2"/>
      <c r="E3685" s="5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>
      <c r="A3686" s="4"/>
      <c r="B3686" s="2"/>
      <c r="C3686" s="2"/>
      <c r="D3686" s="2"/>
      <c r="E3686" s="5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>
      <c r="A3687" s="4"/>
      <c r="B3687" s="2"/>
      <c r="C3687" s="2"/>
      <c r="D3687" s="2"/>
      <c r="E3687" s="5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>
      <c r="A3688" s="4"/>
      <c r="B3688" s="2"/>
      <c r="C3688" s="2"/>
      <c r="D3688" s="2"/>
      <c r="E3688" s="5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>
      <c r="A3689" s="4"/>
      <c r="B3689" s="2"/>
      <c r="C3689" s="2"/>
      <c r="D3689" s="2"/>
      <c r="E3689" s="5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>
      <c r="A3690" s="4"/>
      <c r="B3690" s="2"/>
      <c r="C3690" s="2"/>
      <c r="D3690" s="2"/>
      <c r="E3690" s="5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>
      <c r="A3691" s="4"/>
      <c r="B3691" s="2"/>
      <c r="C3691" s="2"/>
      <c r="D3691" s="2"/>
      <c r="E3691" s="5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>
      <c r="A3692" s="4"/>
      <c r="B3692" s="2"/>
      <c r="C3692" s="2"/>
      <c r="D3692" s="2"/>
      <c r="E3692" s="5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>
      <c r="A3693" s="4"/>
      <c r="B3693" s="2"/>
      <c r="C3693" s="2"/>
      <c r="D3693" s="2"/>
      <c r="E3693" s="5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>
      <c r="A3694" s="4"/>
      <c r="B3694" s="2"/>
      <c r="C3694" s="2"/>
      <c r="D3694" s="2"/>
      <c r="E3694" s="5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>
      <c r="A3695" s="4"/>
      <c r="B3695" s="2"/>
      <c r="C3695" s="2"/>
      <c r="D3695" s="2"/>
      <c r="E3695" s="5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>
      <c r="A3696" s="4"/>
      <c r="B3696" s="2"/>
      <c r="C3696" s="2"/>
      <c r="D3696" s="2"/>
      <c r="E3696" s="5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>
      <c r="A3697" s="4"/>
      <c r="B3697" s="2"/>
      <c r="C3697" s="2"/>
      <c r="D3697" s="2"/>
      <c r="E3697" s="5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>
      <c r="A3698" s="4"/>
      <c r="B3698" s="2"/>
      <c r="C3698" s="2"/>
      <c r="D3698" s="2"/>
      <c r="E3698" s="5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>
      <c r="A3699" s="4"/>
      <c r="B3699" s="2"/>
      <c r="C3699" s="2"/>
      <c r="D3699" s="2"/>
      <c r="E3699" s="5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>
      <c r="A3700" s="4"/>
      <c r="B3700" s="2"/>
      <c r="C3700" s="2"/>
      <c r="D3700" s="2"/>
      <c r="E3700" s="5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>
      <c r="A3701" s="4"/>
      <c r="B3701" s="2"/>
      <c r="C3701" s="2"/>
      <c r="D3701" s="2"/>
      <c r="E3701" s="5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>
      <c r="A3702" s="4"/>
      <c r="B3702" s="2"/>
      <c r="C3702" s="2"/>
      <c r="D3702" s="2"/>
      <c r="E3702" s="5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>
      <c r="A3703" s="4"/>
      <c r="B3703" s="2"/>
      <c r="C3703" s="2"/>
      <c r="D3703" s="2"/>
      <c r="E3703" s="5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>
      <c r="A3704" s="4"/>
      <c r="B3704" s="2"/>
      <c r="C3704" s="2"/>
      <c r="D3704" s="2"/>
      <c r="E3704" s="5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>
      <c r="A3705" s="4"/>
      <c r="B3705" s="2"/>
      <c r="C3705" s="2"/>
      <c r="D3705" s="2"/>
      <c r="E3705" s="5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>
      <c r="A3706" s="4"/>
      <c r="B3706" s="2"/>
      <c r="C3706" s="2"/>
      <c r="D3706" s="2"/>
      <c r="E3706" s="5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>
      <c r="A3707" s="4"/>
      <c r="B3707" s="2"/>
      <c r="C3707" s="2"/>
      <c r="D3707" s="2"/>
      <c r="E3707" s="5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>
      <c r="A3708" s="4"/>
      <c r="B3708" s="2"/>
      <c r="C3708" s="2"/>
      <c r="D3708" s="2"/>
      <c r="E3708" s="5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>
      <c r="A3709" s="4"/>
      <c r="B3709" s="2"/>
      <c r="C3709" s="2"/>
      <c r="D3709" s="2"/>
      <c r="E3709" s="5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>
      <c r="A3710" s="4"/>
      <c r="B3710" s="2"/>
      <c r="C3710" s="2"/>
      <c r="D3710" s="2"/>
      <c r="E3710" s="5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>
      <c r="A3711" s="4"/>
      <c r="B3711" s="2"/>
      <c r="C3711" s="2"/>
      <c r="D3711" s="2"/>
      <c r="E3711" s="5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>
      <c r="A3712" s="4"/>
      <c r="B3712" s="2"/>
      <c r="C3712" s="2"/>
      <c r="D3712" s="2"/>
      <c r="E3712" s="5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>
      <c r="A3713" s="4"/>
      <c r="B3713" s="2"/>
      <c r="C3713" s="2"/>
      <c r="D3713" s="2"/>
      <c r="E3713" s="5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>
      <c r="A3714" s="4"/>
      <c r="B3714" s="2"/>
      <c r="C3714" s="2"/>
      <c r="D3714" s="2"/>
      <c r="E3714" s="5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>
      <c r="A3715" s="4"/>
      <c r="B3715" s="2"/>
      <c r="C3715" s="2"/>
      <c r="D3715" s="2"/>
      <c r="E3715" s="5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>
      <c r="A3716" s="4"/>
      <c r="B3716" s="2"/>
      <c r="C3716" s="2"/>
      <c r="D3716" s="2"/>
      <c r="E3716" s="5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>
      <c r="A3717" s="4"/>
      <c r="B3717" s="2"/>
      <c r="C3717" s="2"/>
      <c r="D3717" s="2"/>
      <c r="E3717" s="5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>
      <c r="A3718" s="4"/>
      <c r="B3718" s="2"/>
      <c r="C3718" s="2"/>
      <c r="D3718" s="2"/>
      <c r="E3718" s="5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>
      <c r="A3719" s="4"/>
      <c r="B3719" s="2"/>
      <c r="C3719" s="2"/>
      <c r="D3719" s="2"/>
      <c r="E3719" s="5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>
      <c r="A3720" s="4"/>
      <c r="B3720" s="2"/>
      <c r="C3720" s="2"/>
      <c r="D3720" s="2"/>
      <c r="E3720" s="5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>
      <c r="A3721" s="4"/>
      <c r="B3721" s="2"/>
      <c r="C3721" s="2"/>
      <c r="D3721" s="2"/>
      <c r="E3721" s="5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>
      <c r="A3722" s="4"/>
      <c r="B3722" s="2"/>
      <c r="C3722" s="2"/>
      <c r="D3722" s="2"/>
      <c r="E3722" s="5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>
      <c r="A3723" s="4"/>
      <c r="B3723" s="2"/>
      <c r="C3723" s="2"/>
      <c r="D3723" s="2"/>
      <c r="E3723" s="5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>
      <c r="A3724" s="4"/>
      <c r="B3724" s="2"/>
      <c r="C3724" s="2"/>
      <c r="D3724" s="2"/>
      <c r="E3724" s="5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>
      <c r="A3725" s="4"/>
      <c r="B3725" s="2"/>
      <c r="C3725" s="2"/>
      <c r="D3725" s="2"/>
      <c r="E3725" s="5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>
      <c r="A3726" s="4"/>
      <c r="B3726" s="2"/>
      <c r="C3726" s="2"/>
      <c r="D3726" s="2"/>
      <c r="E3726" s="5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>
      <c r="A3727" s="4"/>
      <c r="B3727" s="2"/>
      <c r="C3727" s="2"/>
      <c r="D3727" s="2"/>
      <c r="E3727" s="5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>
      <c r="A3728" s="4"/>
      <c r="B3728" s="2"/>
      <c r="C3728" s="2"/>
      <c r="D3728" s="2"/>
      <c r="E3728" s="5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>
      <c r="A3729" s="4"/>
      <c r="B3729" s="2"/>
      <c r="C3729" s="2"/>
      <c r="D3729" s="2"/>
      <c r="E3729" s="5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>
      <c r="A3730" s="4"/>
      <c r="B3730" s="2"/>
      <c r="C3730" s="2"/>
      <c r="D3730" s="2"/>
      <c r="E3730" s="5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>
      <c r="A3731" s="4"/>
      <c r="B3731" s="2"/>
      <c r="C3731" s="2"/>
      <c r="D3731" s="2"/>
      <c r="E3731" s="5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>
      <c r="A3732" s="4"/>
      <c r="B3732" s="2"/>
      <c r="C3732" s="2"/>
      <c r="D3732" s="2"/>
      <c r="E3732" s="5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>
      <c r="A3733" s="4"/>
      <c r="B3733" s="2"/>
      <c r="C3733" s="2"/>
      <c r="D3733" s="2"/>
      <c r="E3733" s="5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>
      <c r="A3734" s="4"/>
      <c r="B3734" s="2"/>
      <c r="C3734" s="2"/>
      <c r="D3734" s="2"/>
      <c r="E3734" s="5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>
      <c r="A3735" s="4"/>
      <c r="B3735" s="2"/>
      <c r="C3735" s="2"/>
      <c r="D3735" s="2"/>
      <c r="E3735" s="5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>
      <c r="A3736" s="4"/>
      <c r="B3736" s="2"/>
      <c r="C3736" s="2"/>
      <c r="D3736" s="2"/>
      <c r="E3736" s="5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>
      <c r="A3737" s="4"/>
      <c r="B3737" s="2"/>
      <c r="C3737" s="2"/>
      <c r="D3737" s="2"/>
      <c r="E3737" s="5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>
      <c r="A3738" s="4"/>
      <c r="B3738" s="2"/>
      <c r="C3738" s="2"/>
      <c r="D3738" s="2"/>
      <c r="E3738" s="5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>
      <c r="A3739" s="4"/>
      <c r="B3739" s="2"/>
      <c r="C3739" s="2"/>
      <c r="D3739" s="2"/>
      <c r="E3739" s="5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>
      <c r="A3740" s="4"/>
      <c r="B3740" s="2"/>
      <c r="C3740" s="2"/>
      <c r="D3740" s="2"/>
      <c r="E3740" s="5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>
      <c r="A3741" s="4"/>
      <c r="B3741" s="2"/>
      <c r="C3741" s="2"/>
      <c r="D3741" s="2"/>
      <c r="E3741" s="5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>
      <c r="A3742" s="4"/>
      <c r="B3742" s="2"/>
      <c r="C3742" s="2"/>
      <c r="D3742" s="2"/>
      <c r="E3742" s="5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>
      <c r="A3743" s="4"/>
      <c r="B3743" s="2"/>
      <c r="C3743" s="2"/>
      <c r="D3743" s="2"/>
      <c r="E3743" s="5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>
      <c r="A3744" s="4"/>
      <c r="B3744" s="2"/>
      <c r="C3744" s="2"/>
      <c r="D3744" s="2"/>
      <c r="E3744" s="5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>
      <c r="A3745" s="4"/>
      <c r="B3745" s="2"/>
      <c r="C3745" s="2"/>
      <c r="D3745" s="2"/>
      <c r="E3745" s="5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>
      <c r="A3746" s="4"/>
      <c r="B3746" s="2"/>
      <c r="C3746" s="2"/>
      <c r="D3746" s="2"/>
      <c r="E3746" s="5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>
      <c r="A3747" s="4"/>
      <c r="B3747" s="2"/>
      <c r="C3747" s="2"/>
      <c r="D3747" s="2"/>
      <c r="E3747" s="5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>
      <c r="A3748" s="4"/>
      <c r="B3748" s="2"/>
      <c r="C3748" s="2"/>
      <c r="D3748" s="2"/>
      <c r="E3748" s="5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>
      <c r="A3749" s="4"/>
      <c r="B3749" s="2"/>
      <c r="C3749" s="2"/>
      <c r="D3749" s="2"/>
      <c r="E3749" s="5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>
      <c r="A3750" s="4"/>
      <c r="B3750" s="2"/>
      <c r="C3750" s="2"/>
      <c r="D3750" s="2"/>
      <c r="E3750" s="5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>
      <c r="A3751" s="4"/>
      <c r="B3751" s="2"/>
      <c r="C3751" s="2"/>
      <c r="D3751" s="2"/>
      <c r="E3751" s="5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>
      <c r="A3752" s="4"/>
      <c r="B3752" s="2"/>
      <c r="C3752" s="2"/>
      <c r="D3752" s="2"/>
      <c r="E3752" s="5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>
      <c r="A3753" s="4"/>
      <c r="B3753" s="2"/>
      <c r="C3753" s="2"/>
      <c r="D3753" s="2"/>
      <c r="E3753" s="5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>
      <c r="A3754" s="4"/>
      <c r="B3754" s="2"/>
      <c r="C3754" s="2"/>
      <c r="D3754" s="2"/>
      <c r="E3754" s="5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>
      <c r="A3755" s="4"/>
      <c r="B3755" s="2"/>
      <c r="C3755" s="2"/>
      <c r="D3755" s="2"/>
      <c r="E3755" s="5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>
      <c r="A3756" s="4"/>
      <c r="B3756" s="2"/>
      <c r="C3756" s="2"/>
      <c r="D3756" s="2"/>
      <c r="E3756" s="5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>
      <c r="A3757" s="4"/>
      <c r="B3757" s="2"/>
      <c r="C3757" s="2"/>
      <c r="D3757" s="2"/>
      <c r="E3757" s="5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>
      <c r="A3758" s="4"/>
      <c r="B3758" s="2"/>
      <c r="C3758" s="2"/>
      <c r="D3758" s="2"/>
      <c r="E3758" s="5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>
      <c r="A3759" s="4"/>
      <c r="B3759" s="2"/>
      <c r="C3759" s="2"/>
      <c r="D3759" s="2"/>
      <c r="E3759" s="5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>
      <c r="A3760" s="4"/>
      <c r="B3760" s="2"/>
      <c r="C3760" s="2"/>
      <c r="D3760" s="2"/>
      <c r="E3760" s="5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>
      <c r="A3761" s="4"/>
      <c r="B3761" s="2"/>
      <c r="C3761" s="2"/>
      <c r="D3761" s="2"/>
      <c r="E3761" s="5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>
      <c r="A3762" s="4"/>
      <c r="B3762" s="2"/>
      <c r="C3762" s="2"/>
      <c r="D3762" s="2"/>
      <c r="E3762" s="5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>
      <c r="A3763" s="4"/>
      <c r="B3763" s="2"/>
      <c r="C3763" s="2"/>
      <c r="D3763" s="2"/>
      <c r="E3763" s="5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>
      <c r="A3764" s="4"/>
      <c r="B3764" s="2"/>
      <c r="C3764" s="2"/>
      <c r="D3764" s="2"/>
      <c r="E3764" s="5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>
      <c r="A3765" s="4"/>
      <c r="B3765" s="2"/>
      <c r="C3765" s="2"/>
      <c r="D3765" s="2"/>
      <c r="E3765" s="5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>
      <c r="A3766" s="4"/>
      <c r="B3766" s="2"/>
      <c r="C3766" s="2"/>
      <c r="D3766" s="2"/>
      <c r="E3766" s="5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>
      <c r="A3767" s="4"/>
      <c r="B3767" s="2"/>
      <c r="C3767" s="2"/>
      <c r="D3767" s="2"/>
      <c r="E3767" s="5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>
      <c r="A3768" s="4"/>
      <c r="B3768" s="2"/>
      <c r="C3768" s="2"/>
      <c r="D3768" s="2"/>
      <c r="E3768" s="5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>
      <c r="A3769" s="4"/>
      <c r="B3769" s="2"/>
      <c r="C3769" s="2"/>
      <c r="D3769" s="2"/>
      <c r="E3769" s="5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>
      <c r="A3770" s="4"/>
      <c r="B3770" s="2"/>
      <c r="C3770" s="2"/>
      <c r="D3770" s="2"/>
      <c r="E3770" s="5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>
      <c r="A3771" s="4"/>
      <c r="B3771" s="2"/>
      <c r="C3771" s="2"/>
      <c r="D3771" s="2"/>
      <c r="E3771" s="5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>
      <c r="A3772" s="4"/>
      <c r="B3772" s="2"/>
      <c r="C3772" s="2"/>
      <c r="D3772" s="2"/>
      <c r="E3772" s="5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>
      <c r="A3773" s="4"/>
      <c r="B3773" s="2"/>
      <c r="C3773" s="2"/>
      <c r="D3773" s="2"/>
      <c r="E3773" s="5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>
      <c r="A3774" s="4"/>
      <c r="B3774" s="2"/>
      <c r="C3774" s="2"/>
      <c r="D3774" s="2"/>
      <c r="E3774" s="5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>
      <c r="A3775" s="4"/>
      <c r="B3775" s="2"/>
      <c r="C3775" s="2"/>
      <c r="D3775" s="2"/>
      <c r="E3775" s="5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>
      <c r="A3776" s="4"/>
      <c r="B3776" s="2"/>
      <c r="C3776" s="2"/>
      <c r="D3776" s="2"/>
      <c r="E3776" s="5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>
      <c r="A3777" s="4"/>
      <c r="B3777" s="2"/>
      <c r="C3777" s="2"/>
      <c r="D3777" s="2"/>
      <c r="E3777" s="5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>
      <c r="A3778" s="4"/>
      <c r="B3778" s="2"/>
      <c r="C3778" s="2"/>
      <c r="D3778" s="2"/>
      <c r="E3778" s="5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>
      <c r="A3779" s="4"/>
      <c r="B3779" s="2"/>
      <c r="C3779" s="2"/>
      <c r="D3779" s="2"/>
      <c r="E3779" s="5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>
      <c r="A3780" s="4"/>
      <c r="B3780" s="2"/>
      <c r="C3780" s="2"/>
      <c r="D3780" s="2"/>
      <c r="E3780" s="5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>
      <c r="A3781" s="4"/>
      <c r="B3781" s="2"/>
      <c r="C3781" s="2"/>
      <c r="D3781" s="2"/>
      <c r="E3781" s="5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>
      <c r="A3782" s="4"/>
      <c r="B3782" s="2"/>
      <c r="C3782" s="2"/>
      <c r="D3782" s="2"/>
      <c r="E3782" s="5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>
      <c r="A3783" s="4"/>
      <c r="B3783" s="2"/>
      <c r="C3783" s="2"/>
      <c r="D3783" s="2"/>
      <c r="E3783" s="5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>
      <c r="A3784" s="4"/>
      <c r="B3784" s="2"/>
      <c r="C3784" s="2"/>
      <c r="D3784" s="2"/>
      <c r="E3784" s="5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>
      <c r="A3785" s="4"/>
      <c r="B3785" s="2"/>
      <c r="C3785" s="2"/>
      <c r="D3785" s="2"/>
      <c r="E3785" s="5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>
      <c r="A3786" s="4"/>
      <c r="B3786" s="2"/>
      <c r="C3786" s="2"/>
      <c r="D3786" s="2"/>
      <c r="E3786" s="5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>
      <c r="A3787" s="4"/>
      <c r="B3787" s="2"/>
      <c r="C3787" s="2"/>
      <c r="D3787" s="2"/>
      <c r="E3787" s="5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>
      <c r="A3788" s="4"/>
      <c r="B3788" s="2"/>
      <c r="C3788" s="2"/>
      <c r="D3788" s="2"/>
      <c r="E3788" s="5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>
      <c r="A3789" s="4"/>
      <c r="B3789" s="2"/>
      <c r="C3789" s="2"/>
      <c r="D3789" s="2"/>
      <c r="E3789" s="5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>
      <c r="A3790" s="4"/>
      <c r="B3790" s="2"/>
      <c r="C3790" s="2"/>
      <c r="D3790" s="2"/>
      <c r="E3790" s="5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>
      <c r="A3791" s="4"/>
      <c r="B3791" s="2"/>
      <c r="C3791" s="2"/>
      <c r="D3791" s="2"/>
      <c r="E3791" s="5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>
      <c r="A3792" s="4"/>
      <c r="B3792" s="2"/>
      <c r="C3792" s="2"/>
      <c r="D3792" s="2"/>
      <c r="E3792" s="5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>
      <c r="A3793" s="4"/>
      <c r="B3793" s="2"/>
      <c r="C3793" s="2"/>
      <c r="D3793" s="2"/>
      <c r="E3793" s="5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>
      <c r="A3794" s="4"/>
      <c r="B3794" s="2"/>
      <c r="C3794" s="2"/>
      <c r="D3794" s="2"/>
      <c r="E3794" s="5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>
      <c r="A3795" s="4"/>
      <c r="B3795" s="2"/>
      <c r="C3795" s="2"/>
      <c r="D3795" s="2"/>
      <c r="E3795" s="5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>
      <c r="A3796" s="4"/>
      <c r="B3796" s="2"/>
      <c r="C3796" s="2"/>
      <c r="D3796" s="2"/>
      <c r="E3796" s="5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>
      <c r="A3797" s="4"/>
      <c r="B3797" s="2"/>
      <c r="C3797" s="2"/>
      <c r="D3797" s="2"/>
      <c r="E3797" s="5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>
      <c r="A3798" s="4"/>
      <c r="B3798" s="2"/>
      <c r="C3798" s="2"/>
      <c r="D3798" s="2"/>
      <c r="E3798" s="5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>
      <c r="A3799" s="4"/>
      <c r="B3799" s="2"/>
      <c r="C3799" s="2"/>
      <c r="D3799" s="2"/>
      <c r="E3799" s="5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>
      <c r="A3800" s="4"/>
      <c r="B3800" s="2"/>
      <c r="C3800" s="2"/>
      <c r="D3800" s="2"/>
      <c r="E3800" s="5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>
      <c r="A3801" s="4"/>
      <c r="B3801" s="2"/>
      <c r="C3801" s="2"/>
      <c r="D3801" s="2"/>
      <c r="E3801" s="5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>
      <c r="A3802" s="4"/>
      <c r="B3802" s="2"/>
      <c r="C3802" s="2"/>
      <c r="D3802" s="2"/>
      <c r="E3802" s="5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>
      <c r="A3803" s="4"/>
      <c r="B3803" s="2"/>
      <c r="C3803" s="2"/>
      <c r="D3803" s="2"/>
      <c r="E3803" s="5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>
      <c r="A3804" s="4"/>
      <c r="B3804" s="2"/>
      <c r="C3804" s="2"/>
      <c r="D3804" s="2"/>
      <c r="E3804" s="5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>
      <c r="A3805" s="4"/>
      <c r="B3805" s="2"/>
      <c r="C3805" s="2"/>
      <c r="D3805" s="2"/>
      <c r="E3805" s="5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>
      <c r="A3806" s="4"/>
      <c r="B3806" s="2"/>
      <c r="C3806" s="2"/>
      <c r="D3806" s="2"/>
      <c r="E3806" s="5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>
      <c r="A3807" s="4"/>
      <c r="B3807" s="2"/>
      <c r="C3807" s="2"/>
      <c r="D3807" s="2"/>
      <c r="E3807" s="5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>
      <c r="A3808" s="4"/>
      <c r="B3808" s="2"/>
      <c r="C3808" s="2"/>
      <c r="D3808" s="2"/>
      <c r="E3808" s="5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>
      <c r="A3809" s="4"/>
      <c r="B3809" s="2"/>
      <c r="C3809" s="2"/>
      <c r="D3809" s="2"/>
      <c r="E3809" s="5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>
      <c r="A3810" s="4"/>
      <c r="B3810" s="2"/>
      <c r="C3810" s="2"/>
      <c r="D3810" s="2"/>
      <c r="E3810" s="5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>
      <c r="A3811" s="4"/>
      <c r="B3811" s="2"/>
      <c r="C3811" s="2"/>
      <c r="D3811" s="2"/>
      <c r="E3811" s="5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>
      <c r="A3812" s="4"/>
      <c r="B3812" s="2"/>
      <c r="C3812" s="2"/>
      <c r="D3812" s="2"/>
      <c r="E3812" s="5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>
      <c r="A3813" s="4"/>
      <c r="B3813" s="2"/>
      <c r="C3813" s="2"/>
      <c r="D3813" s="2"/>
      <c r="E3813" s="5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>
      <c r="A3814" s="4"/>
      <c r="B3814" s="2"/>
      <c r="C3814" s="2"/>
      <c r="D3814" s="2"/>
      <c r="E3814" s="5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>
      <c r="A3815" s="4"/>
      <c r="B3815" s="2"/>
      <c r="C3815" s="2"/>
      <c r="D3815" s="2"/>
      <c r="E3815" s="5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>
      <c r="A3816" s="4"/>
      <c r="B3816" s="2"/>
      <c r="C3816" s="2"/>
      <c r="D3816" s="2"/>
      <c r="E3816" s="5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>
      <c r="A3817" s="4"/>
      <c r="B3817" s="2"/>
      <c r="C3817" s="2"/>
      <c r="D3817" s="2"/>
      <c r="E3817" s="5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>
      <c r="A3818" s="4"/>
      <c r="B3818" s="2"/>
      <c r="C3818" s="2"/>
      <c r="D3818" s="2"/>
      <c r="E3818" s="5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>
      <c r="A3819" s="4"/>
      <c r="B3819" s="2"/>
      <c r="C3819" s="2"/>
      <c r="D3819" s="2"/>
      <c r="E3819" s="5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>
      <c r="A3820" s="4"/>
      <c r="B3820" s="2"/>
      <c r="C3820" s="2"/>
      <c r="D3820" s="2"/>
      <c r="E3820" s="5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>
      <c r="A3821" s="4"/>
      <c r="B3821" s="2"/>
      <c r="C3821" s="2"/>
      <c r="D3821" s="2"/>
      <c r="E3821" s="5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>
      <c r="A3822" s="4"/>
      <c r="B3822" s="2"/>
      <c r="C3822" s="2"/>
      <c r="D3822" s="2"/>
      <c r="E3822" s="5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>
      <c r="A3823" s="4"/>
      <c r="B3823" s="2"/>
      <c r="C3823" s="2"/>
      <c r="D3823" s="2"/>
      <c r="E3823" s="5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>
      <c r="A3824" s="4"/>
      <c r="B3824" s="2"/>
      <c r="C3824" s="2"/>
      <c r="D3824" s="2"/>
      <c r="E3824" s="5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>
      <c r="A3825" s="4"/>
      <c r="B3825" s="2"/>
      <c r="C3825" s="2"/>
      <c r="D3825" s="2"/>
      <c r="E3825" s="5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>
      <c r="A3826" s="4"/>
      <c r="B3826" s="2"/>
      <c r="C3826" s="2"/>
      <c r="D3826" s="2"/>
      <c r="E3826" s="5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>
      <c r="A3827" s="4"/>
      <c r="B3827" s="2"/>
      <c r="C3827" s="2"/>
      <c r="D3827" s="2"/>
      <c r="E3827" s="5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>
      <c r="A3828" s="4"/>
      <c r="B3828" s="2"/>
      <c r="C3828" s="2"/>
      <c r="D3828" s="2"/>
      <c r="E3828" s="5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>
      <c r="A3829" s="4"/>
      <c r="B3829" s="2"/>
      <c r="C3829" s="2"/>
      <c r="D3829" s="2"/>
      <c r="E3829" s="5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>
      <c r="A3830" s="4"/>
      <c r="B3830" s="2"/>
      <c r="C3830" s="2"/>
      <c r="D3830" s="2"/>
      <c r="E3830" s="5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>
      <c r="A3831" s="4"/>
      <c r="B3831" s="2"/>
      <c r="C3831" s="2"/>
      <c r="D3831" s="2"/>
      <c r="E3831" s="5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>
      <c r="A3832" s="4"/>
      <c r="B3832" s="2"/>
      <c r="C3832" s="2"/>
      <c r="D3832" s="2"/>
      <c r="E3832" s="5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>
      <c r="A3833" s="4"/>
      <c r="B3833" s="2"/>
      <c r="C3833" s="2"/>
      <c r="D3833" s="2"/>
      <c r="E3833" s="5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>
      <c r="A3834" s="4"/>
      <c r="B3834" s="2"/>
      <c r="C3834" s="2"/>
      <c r="D3834" s="2"/>
      <c r="E3834" s="5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>
      <c r="A3835" s="4"/>
      <c r="B3835" s="2"/>
      <c r="C3835" s="2"/>
      <c r="D3835" s="2"/>
      <c r="E3835" s="5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>
      <c r="A3836" s="4"/>
      <c r="B3836" s="2"/>
      <c r="C3836" s="2"/>
      <c r="D3836" s="2"/>
      <c r="E3836" s="5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>
      <c r="A3837" s="4"/>
      <c r="B3837" s="2"/>
      <c r="C3837" s="2"/>
      <c r="D3837" s="2"/>
      <c r="E3837" s="5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>
      <c r="A3838" s="4"/>
      <c r="B3838" s="2"/>
      <c r="C3838" s="2"/>
      <c r="D3838" s="2"/>
      <c r="E3838" s="5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>
      <c r="A3839" s="4"/>
      <c r="B3839" s="2"/>
      <c r="C3839" s="2"/>
      <c r="D3839" s="2"/>
      <c r="E3839" s="5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>
      <c r="A3840" s="4"/>
      <c r="B3840" s="2"/>
      <c r="C3840" s="2"/>
      <c r="D3840" s="2"/>
      <c r="E3840" s="5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>
      <c r="A3841" s="4"/>
      <c r="B3841" s="2"/>
      <c r="C3841" s="2"/>
      <c r="D3841" s="2"/>
      <c r="E3841" s="5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>
      <c r="A3842" s="4"/>
      <c r="B3842" s="2"/>
      <c r="C3842" s="2"/>
      <c r="D3842" s="2"/>
      <c r="E3842" s="5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>
      <c r="A3843" s="4"/>
      <c r="B3843" s="2"/>
      <c r="C3843" s="2"/>
      <c r="D3843" s="2"/>
      <c r="E3843" s="5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>
      <c r="A3844" s="4"/>
      <c r="B3844" s="2"/>
      <c r="C3844" s="2"/>
      <c r="D3844" s="2"/>
      <c r="E3844" s="5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>
      <c r="A3845" s="4"/>
      <c r="B3845" s="2"/>
      <c r="C3845" s="2"/>
      <c r="D3845" s="2"/>
      <c r="E3845" s="5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>
      <c r="A3846" s="4"/>
      <c r="B3846" s="2"/>
      <c r="C3846" s="2"/>
      <c r="D3846" s="2"/>
      <c r="E3846" s="5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>
      <c r="A3847" s="4"/>
      <c r="B3847" s="2"/>
      <c r="C3847" s="2"/>
      <c r="D3847" s="2"/>
      <c r="E3847" s="5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>
      <c r="A3848" s="4"/>
      <c r="B3848" s="2"/>
      <c r="C3848" s="2"/>
      <c r="D3848" s="2"/>
      <c r="E3848" s="5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>
      <c r="A3849" s="4"/>
      <c r="B3849" s="2"/>
      <c r="C3849" s="2"/>
      <c r="D3849" s="2"/>
      <c r="E3849" s="5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>
      <c r="A3850" s="4"/>
      <c r="B3850" s="2"/>
      <c r="C3850" s="2"/>
      <c r="D3850" s="2"/>
      <c r="E3850" s="5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>
      <c r="A3851" s="4"/>
      <c r="B3851" s="2"/>
      <c r="C3851" s="2"/>
      <c r="D3851" s="2"/>
      <c r="E3851" s="5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>
      <c r="A3852" s="4"/>
      <c r="B3852" s="2"/>
      <c r="C3852" s="2"/>
      <c r="D3852" s="2"/>
      <c r="E3852" s="5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>
      <c r="A3853" s="4"/>
      <c r="B3853" s="2"/>
      <c r="C3853" s="2"/>
      <c r="D3853" s="2"/>
      <c r="E3853" s="5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>
      <c r="A3854" s="4"/>
      <c r="B3854" s="2"/>
      <c r="C3854" s="2"/>
      <c r="D3854" s="2"/>
      <c r="E3854" s="5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>
      <c r="A3855" s="4"/>
      <c r="B3855" s="2"/>
      <c r="C3855" s="2"/>
      <c r="D3855" s="2"/>
      <c r="E3855" s="5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>
      <c r="A3856" s="4"/>
      <c r="B3856" s="2"/>
      <c r="C3856" s="2"/>
      <c r="D3856" s="2"/>
      <c r="E3856" s="5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>
      <c r="A3857" s="4"/>
      <c r="B3857" s="2"/>
      <c r="C3857" s="2"/>
      <c r="D3857" s="2"/>
      <c r="E3857" s="5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>
      <c r="A3858" s="4"/>
      <c r="B3858" s="2"/>
      <c r="C3858" s="2"/>
      <c r="D3858" s="2"/>
      <c r="E3858" s="5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>
      <c r="A3859" s="4"/>
      <c r="B3859" s="2"/>
      <c r="C3859" s="2"/>
      <c r="D3859" s="2"/>
      <c r="E3859" s="5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>
      <c r="A3860" s="4"/>
      <c r="B3860" s="2"/>
      <c r="C3860" s="2"/>
      <c r="D3860" s="2"/>
      <c r="E3860" s="5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>
      <c r="A3861" s="4"/>
      <c r="B3861" s="2"/>
      <c r="C3861" s="2"/>
      <c r="D3861" s="2"/>
      <c r="E3861" s="5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>
      <c r="A3862" s="4"/>
      <c r="B3862" s="2"/>
      <c r="C3862" s="2"/>
      <c r="D3862" s="2"/>
      <c r="E3862" s="5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>
      <c r="A3863" s="4"/>
      <c r="B3863" s="2"/>
      <c r="C3863" s="2"/>
      <c r="D3863" s="2"/>
      <c r="E3863" s="5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>
      <c r="A3864" s="4"/>
      <c r="B3864" s="2"/>
      <c r="C3864" s="2"/>
      <c r="D3864" s="2"/>
      <c r="E3864" s="5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>
      <c r="A3865" s="4"/>
      <c r="B3865" s="2"/>
      <c r="C3865" s="2"/>
      <c r="D3865" s="2"/>
      <c r="E3865" s="5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>
      <c r="A3866" s="4"/>
      <c r="B3866" s="2"/>
      <c r="C3866" s="2"/>
      <c r="D3866" s="2"/>
      <c r="E3866" s="5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>
      <c r="A3867" s="4"/>
      <c r="B3867" s="2"/>
      <c r="C3867" s="2"/>
      <c r="D3867" s="2"/>
      <c r="E3867" s="5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>
      <c r="A3868" s="4"/>
      <c r="B3868" s="2"/>
      <c r="C3868" s="2"/>
      <c r="D3868" s="2"/>
      <c r="E3868" s="5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>
      <c r="A3869" s="4"/>
      <c r="B3869" s="2"/>
      <c r="C3869" s="2"/>
      <c r="D3869" s="2"/>
      <c r="E3869" s="5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>
      <c r="A3870" s="4"/>
      <c r="B3870" s="2"/>
      <c r="C3870" s="2"/>
      <c r="D3870" s="2"/>
      <c r="E3870" s="5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>
      <c r="A3871" s="4"/>
      <c r="B3871" s="2"/>
      <c r="C3871" s="2"/>
      <c r="D3871" s="2"/>
      <c r="E3871" s="5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>
      <c r="A3872" s="4"/>
      <c r="B3872" s="2"/>
      <c r="C3872" s="2"/>
      <c r="D3872" s="2"/>
      <c r="E3872" s="5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>
      <c r="A3873" s="4"/>
      <c r="B3873" s="2"/>
      <c r="C3873" s="2"/>
      <c r="D3873" s="2"/>
      <c r="E3873" s="5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>
      <c r="A3874" s="4"/>
      <c r="B3874" s="2"/>
      <c r="C3874" s="2"/>
      <c r="D3874" s="2"/>
      <c r="E3874" s="5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>
      <c r="A3875" s="4"/>
      <c r="B3875" s="2"/>
      <c r="C3875" s="2"/>
      <c r="D3875" s="2"/>
      <c r="E3875" s="5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>
      <c r="A3876" s="4"/>
      <c r="B3876" s="2"/>
      <c r="C3876" s="2"/>
      <c r="D3876" s="2"/>
      <c r="E3876" s="5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>
      <c r="A3877" s="4"/>
      <c r="B3877" s="2"/>
      <c r="C3877" s="2"/>
      <c r="D3877" s="2"/>
      <c r="E3877" s="5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>
      <c r="A3878" s="4"/>
      <c r="B3878" s="2"/>
      <c r="C3878" s="2"/>
      <c r="D3878" s="2"/>
      <c r="E3878" s="5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>
      <c r="A3879" s="4"/>
      <c r="B3879" s="2"/>
      <c r="C3879" s="2"/>
      <c r="D3879" s="2"/>
      <c r="E3879" s="5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>
      <c r="A3880" s="4"/>
      <c r="B3880" s="2"/>
      <c r="C3880" s="2"/>
      <c r="D3880" s="2"/>
      <c r="E3880" s="5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>
      <c r="A3881" s="4"/>
      <c r="B3881" s="2"/>
      <c r="C3881" s="2"/>
      <c r="D3881" s="2"/>
      <c r="E3881" s="5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>
      <c r="A3882" s="4"/>
      <c r="B3882" s="2"/>
      <c r="C3882" s="2"/>
      <c r="D3882" s="2"/>
      <c r="E3882" s="5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>
      <c r="A3883" s="4"/>
      <c r="B3883" s="2"/>
      <c r="C3883" s="2"/>
      <c r="D3883" s="2"/>
      <c r="E3883" s="5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>
      <c r="A3884" s="4"/>
      <c r="B3884" s="2"/>
      <c r="C3884" s="2"/>
      <c r="D3884" s="2"/>
      <c r="E3884" s="5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>
      <c r="A3885" s="4"/>
      <c r="B3885" s="2"/>
      <c r="C3885" s="2"/>
      <c r="D3885" s="2"/>
      <c r="E3885" s="5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>
      <c r="A3886" s="4"/>
      <c r="B3886" s="2"/>
      <c r="C3886" s="2"/>
      <c r="D3886" s="2"/>
      <c r="E3886" s="5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>
      <c r="A3887" s="4"/>
      <c r="B3887" s="2"/>
      <c r="C3887" s="2"/>
      <c r="D3887" s="2"/>
      <c r="E3887" s="5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>
      <c r="A3888" s="4"/>
      <c r="B3888" s="2"/>
      <c r="C3888" s="2"/>
      <c r="D3888" s="2"/>
      <c r="E3888" s="5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>
      <c r="A3889" s="4"/>
      <c r="B3889" s="2"/>
      <c r="C3889" s="2"/>
      <c r="D3889" s="2"/>
      <c r="E3889" s="5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>
      <c r="A3890" s="4"/>
      <c r="B3890" s="2"/>
      <c r="C3890" s="2"/>
      <c r="D3890" s="2"/>
      <c r="E3890" s="5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>
      <c r="A3891" s="4"/>
      <c r="B3891" s="2"/>
      <c r="C3891" s="2"/>
      <c r="D3891" s="2"/>
      <c r="E3891" s="5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>
      <c r="A3892" s="4"/>
      <c r="B3892" s="2"/>
      <c r="C3892" s="2"/>
      <c r="D3892" s="2"/>
      <c r="E3892" s="5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>
      <c r="A3893" s="4"/>
      <c r="B3893" s="2"/>
      <c r="C3893" s="2"/>
      <c r="D3893" s="2"/>
      <c r="E3893" s="5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>
      <c r="A3894" s="4"/>
      <c r="B3894" s="2"/>
      <c r="C3894" s="2"/>
      <c r="D3894" s="2"/>
      <c r="E3894" s="5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>
      <c r="A3895" s="4"/>
      <c r="B3895" s="2"/>
      <c r="C3895" s="2"/>
      <c r="D3895" s="2"/>
      <c r="E3895" s="5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>
      <c r="A3896" s="4"/>
      <c r="B3896" s="2"/>
      <c r="C3896" s="2"/>
      <c r="D3896" s="2"/>
      <c r="E3896" s="5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>
      <c r="A3897" s="4"/>
      <c r="B3897" s="2"/>
      <c r="C3897" s="2"/>
      <c r="D3897" s="2"/>
      <c r="E3897" s="5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>
      <c r="A3898" s="4"/>
      <c r="B3898" s="2"/>
      <c r="C3898" s="2"/>
      <c r="D3898" s="2"/>
      <c r="E3898" s="5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>
      <c r="A3899" s="4"/>
      <c r="B3899" s="2"/>
      <c r="C3899" s="2"/>
      <c r="D3899" s="2"/>
      <c r="E3899" s="5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>
      <c r="A3900" s="4"/>
      <c r="B3900" s="2"/>
      <c r="C3900" s="2"/>
      <c r="D3900" s="2"/>
      <c r="E3900" s="5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>
      <c r="A3901" s="4"/>
      <c r="B3901" s="2"/>
      <c r="C3901" s="2"/>
      <c r="D3901" s="2"/>
      <c r="E3901" s="5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>
      <c r="A3902" s="4"/>
      <c r="B3902" s="2"/>
      <c r="C3902" s="2"/>
      <c r="D3902" s="2"/>
      <c r="E3902" s="5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>
      <c r="A3903" s="4"/>
      <c r="B3903" s="2"/>
      <c r="C3903" s="2"/>
      <c r="D3903" s="2"/>
      <c r="E3903" s="5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>
      <c r="A3904" s="4"/>
      <c r="B3904" s="2"/>
      <c r="C3904" s="2"/>
      <c r="D3904" s="2"/>
      <c r="E3904" s="5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>
      <c r="A3905" s="4"/>
      <c r="B3905" s="2"/>
      <c r="C3905" s="2"/>
      <c r="D3905" s="2"/>
      <c r="E3905" s="5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>
      <c r="A3906" s="4"/>
      <c r="B3906" s="2"/>
      <c r="C3906" s="2"/>
      <c r="D3906" s="2"/>
      <c r="E3906" s="5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>
      <c r="A3907" s="4"/>
      <c r="B3907" s="2"/>
      <c r="C3907" s="2"/>
      <c r="D3907" s="2"/>
      <c r="E3907" s="5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>
      <c r="A3908" s="4"/>
      <c r="B3908" s="2"/>
      <c r="C3908" s="2"/>
      <c r="D3908" s="2"/>
      <c r="E3908" s="5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>
      <c r="A3909" s="4"/>
      <c r="B3909" s="2"/>
      <c r="C3909" s="2"/>
      <c r="D3909" s="2"/>
      <c r="E3909" s="5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>
      <c r="A3910" s="4"/>
      <c r="B3910" s="2"/>
      <c r="C3910" s="2"/>
      <c r="D3910" s="2"/>
      <c r="E3910" s="5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>
      <c r="A3911" s="4"/>
      <c r="B3911" s="2"/>
      <c r="C3911" s="2"/>
      <c r="D3911" s="2"/>
      <c r="E3911" s="5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>
      <c r="A3912" s="4"/>
      <c r="B3912" s="2"/>
      <c r="C3912" s="2"/>
      <c r="D3912" s="2"/>
      <c r="E3912" s="5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>
      <c r="A3913" s="4"/>
      <c r="B3913" s="2"/>
      <c r="C3913" s="2"/>
      <c r="D3913" s="2"/>
      <c r="E3913" s="5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>
      <c r="A3914" s="4"/>
      <c r="B3914" s="2"/>
      <c r="C3914" s="2"/>
      <c r="D3914" s="2"/>
      <c r="E3914" s="5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>
      <c r="A3915" s="4"/>
      <c r="B3915" s="2"/>
      <c r="C3915" s="2"/>
      <c r="D3915" s="2"/>
      <c r="E3915" s="5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>
      <c r="A3916" s="4"/>
      <c r="B3916" s="2"/>
      <c r="C3916" s="2"/>
      <c r="D3916" s="2"/>
      <c r="E3916" s="5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>
      <c r="A3917" s="4"/>
      <c r="B3917" s="2"/>
      <c r="C3917" s="2"/>
      <c r="D3917" s="2"/>
      <c r="E3917" s="5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>
      <c r="A3918" s="4"/>
      <c r="B3918" s="2"/>
      <c r="C3918" s="2"/>
      <c r="D3918" s="2"/>
      <c r="E3918" s="5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>
      <c r="A3919" s="4"/>
      <c r="B3919" s="2"/>
      <c r="C3919" s="2"/>
      <c r="D3919" s="2"/>
      <c r="E3919" s="5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>
      <c r="A3920" s="4"/>
      <c r="B3920" s="2"/>
      <c r="C3920" s="2"/>
      <c r="D3920" s="2"/>
      <c r="E3920" s="5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>
      <c r="A3921" s="4"/>
      <c r="B3921" s="2"/>
      <c r="C3921" s="2"/>
      <c r="D3921" s="2"/>
      <c r="E3921" s="5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>
      <c r="A3922" s="4"/>
      <c r="B3922" s="2"/>
      <c r="C3922" s="2"/>
      <c r="D3922" s="2"/>
      <c r="E3922" s="5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>
      <c r="A3923" s="4"/>
      <c r="B3923" s="2"/>
      <c r="C3923" s="2"/>
      <c r="D3923" s="2"/>
      <c r="E3923" s="5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>
      <c r="A3924" s="4"/>
      <c r="B3924" s="2"/>
      <c r="C3924" s="2"/>
      <c r="D3924" s="2"/>
      <c r="E3924" s="5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>
      <c r="A3925" s="4"/>
      <c r="B3925" s="2"/>
      <c r="C3925" s="2"/>
      <c r="D3925" s="2"/>
      <c r="E3925" s="5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>
      <c r="A3926" s="4"/>
      <c r="B3926" s="2"/>
      <c r="C3926" s="2"/>
      <c r="D3926" s="2"/>
      <c r="E3926" s="5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>
      <c r="A3927" s="4"/>
      <c r="B3927" s="2"/>
      <c r="C3927" s="2"/>
      <c r="D3927" s="2"/>
      <c r="E3927" s="5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>
      <c r="A3928" s="4"/>
      <c r="B3928" s="2"/>
      <c r="C3928" s="2"/>
      <c r="D3928" s="2"/>
      <c r="E3928" s="5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>
      <c r="A3929" s="4"/>
      <c r="B3929" s="2"/>
      <c r="C3929" s="2"/>
      <c r="D3929" s="2"/>
      <c r="E3929" s="5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>
      <c r="A3930" s="4"/>
      <c r="B3930" s="2"/>
      <c r="C3930" s="2"/>
      <c r="D3930" s="2"/>
      <c r="E3930" s="5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>
      <c r="A3931" s="4"/>
      <c r="B3931" s="2"/>
      <c r="C3931" s="2"/>
      <c r="D3931" s="2"/>
      <c r="E3931" s="5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>
      <c r="A3932" s="4"/>
      <c r="B3932" s="2"/>
      <c r="C3932" s="2"/>
      <c r="D3932" s="2"/>
      <c r="E3932" s="5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>
      <c r="A3933" s="4"/>
      <c r="B3933" s="2"/>
      <c r="C3933" s="2"/>
      <c r="D3933" s="2"/>
      <c r="E3933" s="5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>
      <c r="A3934" s="4"/>
      <c r="B3934" s="2"/>
      <c r="C3934" s="2"/>
      <c r="D3934" s="2"/>
      <c r="E3934" s="5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>
      <c r="A3935" s="4"/>
      <c r="B3935" s="2"/>
      <c r="C3935" s="2"/>
      <c r="D3935" s="2"/>
      <c r="E3935" s="5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>
      <c r="A3936" s="4"/>
      <c r="B3936" s="2"/>
      <c r="C3936" s="2"/>
      <c r="D3936" s="2"/>
      <c r="E3936" s="5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>
      <c r="A3937" s="4"/>
      <c r="B3937" s="2"/>
      <c r="C3937" s="2"/>
      <c r="D3937" s="2"/>
      <c r="E3937" s="5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>
      <c r="A3938" s="4"/>
      <c r="B3938" s="2"/>
      <c r="C3938" s="2"/>
      <c r="D3938" s="2"/>
      <c r="E3938" s="5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>
      <c r="A3939" s="4"/>
      <c r="B3939" s="2"/>
      <c r="C3939" s="2"/>
      <c r="D3939" s="2"/>
      <c r="E3939" s="5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>
      <c r="A3940" s="4"/>
      <c r="B3940" s="2"/>
      <c r="C3940" s="2"/>
      <c r="D3940" s="2"/>
      <c r="E3940" s="5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>
      <c r="A3941" s="4"/>
      <c r="B3941" s="2"/>
      <c r="C3941" s="2"/>
      <c r="D3941" s="2"/>
      <c r="E3941" s="5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>
      <c r="A3942" s="4"/>
      <c r="B3942" s="2"/>
      <c r="C3942" s="2"/>
      <c r="D3942" s="2"/>
      <c r="E3942" s="5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>
      <c r="A3943" s="4"/>
      <c r="B3943" s="2"/>
      <c r="C3943" s="2"/>
      <c r="D3943" s="2"/>
      <c r="E3943" s="5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>
      <c r="A3944" s="4"/>
      <c r="B3944" s="2"/>
      <c r="C3944" s="2"/>
      <c r="D3944" s="2"/>
      <c r="E3944" s="5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>
      <c r="A3945" s="4"/>
      <c r="B3945" s="2"/>
      <c r="C3945" s="2"/>
      <c r="D3945" s="2"/>
      <c r="E3945" s="5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>
      <c r="A3946" s="4"/>
      <c r="B3946" s="2"/>
      <c r="C3946" s="2"/>
      <c r="D3946" s="2"/>
      <c r="E3946" s="5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>
      <c r="A3947" s="4"/>
      <c r="B3947" s="2"/>
      <c r="C3947" s="2"/>
      <c r="D3947" s="2"/>
      <c r="E3947" s="5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>
      <c r="A3948" s="4"/>
      <c r="B3948" s="2"/>
      <c r="C3948" s="2"/>
      <c r="D3948" s="2"/>
      <c r="E3948" s="5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>
      <c r="A3949" s="4"/>
      <c r="B3949" s="2"/>
      <c r="C3949" s="2"/>
      <c r="D3949" s="2"/>
      <c r="E3949" s="5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>
      <c r="A3950" s="4"/>
      <c r="B3950" s="2"/>
      <c r="C3950" s="2"/>
      <c r="D3950" s="2"/>
      <c r="E3950" s="5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>
      <c r="A3951" s="4"/>
      <c r="B3951" s="2"/>
      <c r="C3951" s="2"/>
      <c r="D3951" s="2"/>
      <c r="E3951" s="5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>
      <c r="A3952" s="4"/>
      <c r="B3952" s="2"/>
      <c r="C3952" s="2"/>
      <c r="D3952" s="2"/>
      <c r="E3952" s="5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>
      <c r="A3953" s="4"/>
      <c r="B3953" s="2"/>
      <c r="C3953" s="2"/>
      <c r="D3953" s="2"/>
      <c r="E3953" s="5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>
      <c r="A3954" s="4"/>
      <c r="B3954" s="2"/>
      <c r="C3954" s="2"/>
      <c r="D3954" s="2"/>
      <c r="E3954" s="5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>
      <c r="A3955" s="4"/>
      <c r="B3955" s="2"/>
      <c r="C3955" s="2"/>
      <c r="D3955" s="2"/>
      <c r="E3955" s="5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>
      <c r="A3956" s="4"/>
      <c r="B3956" s="2"/>
      <c r="C3956" s="2"/>
      <c r="D3956" s="2"/>
      <c r="E3956" s="5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>
      <c r="A3957" s="4"/>
      <c r="B3957" s="2"/>
      <c r="C3957" s="2"/>
      <c r="D3957" s="2"/>
      <c r="E3957" s="5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>
      <c r="A3958" s="4"/>
      <c r="B3958" s="2"/>
      <c r="C3958" s="2"/>
      <c r="D3958" s="2"/>
      <c r="E3958" s="5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>
      <c r="A3959" s="4"/>
      <c r="B3959" s="2"/>
      <c r="C3959" s="2"/>
      <c r="D3959" s="2"/>
      <c r="E3959" s="5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>
      <c r="A3960" s="4"/>
      <c r="B3960" s="2"/>
      <c r="C3960" s="2"/>
      <c r="D3960" s="2"/>
      <c r="E3960" s="5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>
      <c r="A3961" s="4"/>
      <c r="B3961" s="2"/>
      <c r="C3961" s="2"/>
      <c r="D3961" s="2"/>
      <c r="E3961" s="5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>
      <c r="A3962" s="4"/>
      <c r="B3962" s="2"/>
      <c r="C3962" s="2"/>
      <c r="D3962" s="2"/>
      <c r="E3962" s="5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>
      <c r="A3963" s="4"/>
      <c r="B3963" s="2"/>
      <c r="C3963" s="2"/>
      <c r="D3963" s="2"/>
      <c r="E3963" s="5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>
      <c r="A3964" s="4"/>
      <c r="B3964" s="2"/>
      <c r="C3964" s="2"/>
      <c r="D3964" s="2"/>
      <c r="E3964" s="5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>
      <c r="A3965" s="4"/>
      <c r="B3965" s="2"/>
      <c r="C3965" s="2"/>
      <c r="D3965" s="2"/>
      <c r="E3965" s="5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>
      <c r="A3966" s="4"/>
      <c r="B3966" s="2"/>
      <c r="C3966" s="2"/>
      <c r="D3966" s="2"/>
      <c r="E3966" s="5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>
      <c r="A3967" s="4"/>
      <c r="B3967" s="2"/>
      <c r="C3967" s="2"/>
      <c r="D3967" s="2"/>
      <c r="E3967" s="5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>
      <c r="A3968" s="4"/>
      <c r="B3968" s="2"/>
      <c r="C3968" s="2"/>
      <c r="D3968" s="2"/>
      <c r="E3968" s="5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>
      <c r="A3969" s="4"/>
      <c r="B3969" s="2"/>
      <c r="C3969" s="2"/>
      <c r="D3969" s="2"/>
      <c r="E3969" s="5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>
      <c r="A3970" s="4"/>
      <c r="B3970" s="2"/>
      <c r="C3970" s="2"/>
      <c r="D3970" s="2"/>
      <c r="E3970" s="5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>
      <c r="A3971" s="4"/>
      <c r="B3971" s="2"/>
      <c r="C3971" s="2"/>
      <c r="D3971" s="2"/>
      <c r="E3971" s="5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>
      <c r="A3972" s="4"/>
      <c r="B3972" s="2"/>
      <c r="C3972" s="2"/>
      <c r="D3972" s="2"/>
      <c r="E3972" s="5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>
      <c r="A3973" s="4"/>
      <c r="B3973" s="2"/>
      <c r="C3973" s="2"/>
      <c r="D3973" s="2"/>
      <c r="E3973" s="5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>
      <c r="A3974" s="4"/>
      <c r="B3974" s="2"/>
      <c r="C3974" s="2"/>
      <c r="D3974" s="2"/>
      <c r="E3974" s="5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>
      <c r="A3975" s="4"/>
      <c r="B3975" s="2"/>
      <c r="C3975" s="2"/>
      <c r="D3975" s="2"/>
      <c r="E3975" s="5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>
      <c r="A3976" s="4"/>
      <c r="B3976" s="2"/>
      <c r="C3976" s="2"/>
      <c r="D3976" s="2"/>
      <c r="E3976" s="5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>
      <c r="A3977" s="4"/>
      <c r="B3977" s="2"/>
      <c r="C3977" s="2"/>
      <c r="D3977" s="2"/>
      <c r="E3977" s="5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>
      <c r="A3978" s="4"/>
      <c r="B3978" s="2"/>
      <c r="C3978" s="2"/>
      <c r="D3978" s="2"/>
      <c r="E3978" s="5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>
      <c r="A3979" s="4"/>
      <c r="B3979" s="2"/>
      <c r="C3979" s="2"/>
      <c r="D3979" s="2"/>
      <c r="E3979" s="5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>
      <c r="A3980" s="4"/>
      <c r="B3980" s="2"/>
      <c r="C3980" s="2"/>
      <c r="D3980" s="2"/>
      <c r="E3980" s="5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>
      <c r="A3981" s="4"/>
      <c r="B3981" s="2"/>
      <c r="C3981" s="2"/>
      <c r="D3981" s="2"/>
      <c r="E3981" s="5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>
      <c r="A3982" s="4"/>
      <c r="B3982" s="2"/>
      <c r="C3982" s="2"/>
      <c r="D3982" s="2"/>
      <c r="E3982" s="5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>
      <c r="A3983" s="4"/>
      <c r="B3983" s="2"/>
      <c r="C3983" s="2"/>
      <c r="D3983" s="2"/>
      <c r="E3983" s="5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>
      <c r="A3984" s="4"/>
      <c r="B3984" s="2"/>
      <c r="C3984" s="2"/>
      <c r="D3984" s="2"/>
      <c r="E3984" s="5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>
      <c r="A3985" s="4"/>
      <c r="B3985" s="2"/>
      <c r="C3985" s="2"/>
      <c r="D3985" s="2"/>
      <c r="E3985" s="5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>
      <c r="A3986" s="4"/>
      <c r="B3986" s="2"/>
      <c r="C3986" s="2"/>
      <c r="D3986" s="2"/>
      <c r="E3986" s="5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>
      <c r="A3987" s="4"/>
      <c r="B3987" s="2"/>
      <c r="C3987" s="2"/>
      <c r="D3987" s="2"/>
      <c r="E3987" s="5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>
      <c r="A3988" s="4"/>
      <c r="B3988" s="2"/>
      <c r="C3988" s="2"/>
      <c r="D3988" s="2"/>
      <c r="E3988" s="5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>
      <c r="A3989" s="4"/>
      <c r="B3989" s="2"/>
      <c r="C3989" s="2"/>
      <c r="D3989" s="2"/>
      <c r="E3989" s="5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>
      <c r="A3990" s="4"/>
      <c r="B3990" s="2"/>
      <c r="C3990" s="2"/>
      <c r="D3990" s="2"/>
      <c r="E3990" s="5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>
      <c r="A3991" s="4"/>
      <c r="B3991" s="2"/>
      <c r="C3991" s="2"/>
      <c r="D3991" s="2"/>
      <c r="E3991" s="5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>
      <c r="A3992" s="4"/>
      <c r="B3992" s="2"/>
      <c r="C3992" s="2"/>
      <c r="D3992" s="2"/>
      <c r="E3992" s="5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>
      <c r="A3993" s="4"/>
      <c r="B3993" s="2"/>
      <c r="C3993" s="2"/>
      <c r="D3993" s="2"/>
      <c r="E3993" s="5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>
      <c r="A3994" s="4"/>
      <c r="B3994" s="2"/>
      <c r="C3994" s="2"/>
      <c r="D3994" s="2"/>
      <c r="E3994" s="5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>
      <c r="A3995" s="4"/>
      <c r="B3995" s="2"/>
      <c r="C3995" s="2"/>
      <c r="D3995" s="2"/>
      <c r="E3995" s="5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>
      <c r="A3996" s="4"/>
      <c r="B3996" s="2"/>
      <c r="C3996" s="2"/>
      <c r="D3996" s="2"/>
      <c r="E3996" s="5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>
      <c r="A3997" s="4"/>
      <c r="B3997" s="2"/>
      <c r="C3997" s="2"/>
      <c r="D3997" s="2"/>
      <c r="E3997" s="5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>
      <c r="A3998" s="4"/>
      <c r="B3998" s="2"/>
      <c r="C3998" s="2"/>
      <c r="D3998" s="2"/>
      <c r="E3998" s="5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>
      <c r="A3999" s="4"/>
      <c r="B3999" s="2"/>
      <c r="C3999" s="2"/>
      <c r="D3999" s="2"/>
      <c r="E3999" s="5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>
      <c r="A4000" s="4"/>
      <c r="B4000" s="2"/>
      <c r="C4000" s="2"/>
      <c r="D4000" s="2"/>
      <c r="E4000" s="5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>
      <c r="A4001" s="4"/>
      <c r="B4001" s="2"/>
      <c r="C4001" s="2"/>
      <c r="D4001" s="2"/>
      <c r="E4001" s="5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>
      <c r="A4002" s="4"/>
      <c r="B4002" s="2"/>
      <c r="C4002" s="2"/>
      <c r="D4002" s="2"/>
      <c r="E4002" s="5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>
      <c r="A4003" s="4"/>
      <c r="B4003" s="2"/>
      <c r="C4003" s="2"/>
      <c r="D4003" s="2"/>
      <c r="E4003" s="5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>
      <c r="A4004" s="4"/>
      <c r="B4004" s="2"/>
      <c r="C4004" s="2"/>
      <c r="D4004" s="2"/>
      <c r="E4004" s="5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>
      <c r="A4005" s="4"/>
      <c r="B4005" s="2"/>
      <c r="C4005" s="2"/>
      <c r="D4005" s="2"/>
      <c r="E4005" s="5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>
      <c r="A4006" s="4"/>
      <c r="B4006" s="2"/>
      <c r="C4006" s="2"/>
      <c r="D4006" s="2"/>
      <c r="E4006" s="5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>
      <c r="A4007" s="4"/>
      <c r="B4007" s="2"/>
      <c r="C4007" s="2"/>
      <c r="D4007" s="2"/>
      <c r="E4007" s="5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>
      <c r="A4008" s="4"/>
      <c r="B4008" s="2"/>
      <c r="C4008" s="2"/>
      <c r="D4008" s="2"/>
      <c r="E4008" s="5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>
      <c r="A4009" s="4"/>
      <c r="B4009" s="2"/>
      <c r="C4009" s="2"/>
      <c r="D4009" s="2"/>
      <c r="E4009" s="5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>
      <c r="A4010" s="4"/>
      <c r="B4010" s="2"/>
      <c r="C4010" s="2"/>
      <c r="D4010" s="2"/>
      <c r="E4010" s="5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>
      <c r="A4011" s="4"/>
      <c r="B4011" s="2"/>
      <c r="C4011" s="2"/>
      <c r="D4011" s="2"/>
      <c r="E4011" s="5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>
      <c r="A4012" s="4"/>
      <c r="B4012" s="2"/>
      <c r="C4012" s="2"/>
      <c r="D4012" s="2"/>
      <c r="E4012" s="5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>
      <c r="A4013" s="4"/>
      <c r="B4013" s="2"/>
      <c r="C4013" s="2"/>
      <c r="D4013" s="2"/>
      <c r="E4013" s="5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>
      <c r="A4014" s="4"/>
      <c r="B4014" s="2"/>
      <c r="C4014" s="2"/>
      <c r="D4014" s="2"/>
      <c r="E4014" s="5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>
      <c r="A4015" s="4"/>
      <c r="B4015" s="2"/>
      <c r="C4015" s="2"/>
      <c r="D4015" s="2"/>
      <c r="E4015" s="5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>
      <c r="A4016" s="4"/>
      <c r="B4016" s="2"/>
      <c r="C4016" s="2"/>
      <c r="D4016" s="2"/>
      <c r="E4016" s="5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>
      <c r="A4017" s="4"/>
      <c r="B4017" s="2"/>
      <c r="C4017" s="2"/>
      <c r="D4017" s="2"/>
      <c r="E4017" s="5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>
      <c r="A4018" s="4"/>
      <c r="B4018" s="2"/>
      <c r="C4018" s="2"/>
      <c r="D4018" s="2"/>
      <c r="E4018" s="5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>
      <c r="A4019" s="4"/>
      <c r="B4019" s="2"/>
      <c r="C4019" s="2"/>
      <c r="D4019" s="2"/>
      <c r="E4019" s="5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>
      <c r="A4020" s="4"/>
      <c r="B4020" s="2"/>
      <c r="C4020" s="2"/>
      <c r="D4020" s="2"/>
      <c r="E4020" s="5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>
      <c r="A4021" s="4"/>
      <c r="B4021" s="2"/>
      <c r="C4021" s="2"/>
      <c r="D4021" s="2"/>
      <c r="E4021" s="5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>
      <c r="A4022" s="4"/>
      <c r="B4022" s="2"/>
      <c r="C4022" s="2"/>
      <c r="D4022" s="2"/>
      <c r="E4022" s="5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>
      <c r="A4023" s="4"/>
      <c r="B4023" s="2"/>
      <c r="C4023" s="2"/>
      <c r="D4023" s="2"/>
      <c r="E4023" s="5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>
      <c r="A4024" s="4"/>
      <c r="B4024" s="2"/>
      <c r="C4024" s="2"/>
      <c r="D4024" s="2"/>
      <c r="E4024" s="5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>
      <c r="A4025" s="4"/>
      <c r="B4025" s="2"/>
      <c r="C4025" s="2"/>
      <c r="D4025" s="2"/>
      <c r="E4025" s="5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>
      <c r="A4026" s="4"/>
      <c r="B4026" s="2"/>
      <c r="C4026" s="2"/>
      <c r="D4026" s="2"/>
      <c r="E4026" s="5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>
      <c r="A4027" s="4"/>
      <c r="B4027" s="2"/>
      <c r="C4027" s="2"/>
      <c r="D4027" s="2"/>
      <c r="E4027" s="5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>
      <c r="A4028" s="4"/>
      <c r="B4028" s="2"/>
      <c r="C4028" s="2"/>
      <c r="D4028" s="2"/>
      <c r="E4028" s="5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>
      <c r="A4029" s="4"/>
      <c r="B4029" s="2"/>
      <c r="C4029" s="2"/>
      <c r="D4029" s="2"/>
      <c r="E4029" s="5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>
      <c r="A4030" s="4"/>
      <c r="B4030" s="2"/>
      <c r="C4030" s="2"/>
      <c r="D4030" s="2"/>
      <c r="E4030" s="5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>
      <c r="A4031" s="4"/>
      <c r="B4031" s="2"/>
      <c r="C4031" s="2"/>
      <c r="D4031" s="2"/>
      <c r="E4031" s="5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>
      <c r="A4032" s="4"/>
      <c r="B4032" s="2"/>
      <c r="C4032" s="2"/>
      <c r="D4032" s="2"/>
      <c r="E4032" s="5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>
      <c r="A4033" s="4"/>
      <c r="B4033" s="2"/>
      <c r="C4033" s="2"/>
      <c r="D4033" s="2"/>
      <c r="E4033" s="5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>
      <c r="A4034" s="4"/>
      <c r="B4034" s="2"/>
      <c r="C4034" s="2"/>
      <c r="D4034" s="2"/>
      <c r="E4034" s="5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>
      <c r="A4035" s="4"/>
      <c r="B4035" s="2"/>
      <c r="C4035" s="2"/>
      <c r="D4035" s="2"/>
      <c r="E4035" s="5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>
      <c r="A4036" s="4"/>
      <c r="B4036" s="2"/>
      <c r="C4036" s="2"/>
      <c r="D4036" s="2"/>
      <c r="E4036" s="5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>
      <c r="A4037" s="4"/>
      <c r="B4037" s="2"/>
      <c r="C4037" s="2"/>
      <c r="D4037" s="2"/>
      <c r="E4037" s="5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>
      <c r="A4038" s="4"/>
      <c r="B4038" s="2"/>
      <c r="C4038" s="2"/>
      <c r="D4038" s="2"/>
      <c r="E4038" s="5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>
      <c r="A4039" s="4"/>
      <c r="B4039" s="2"/>
      <c r="C4039" s="2"/>
      <c r="D4039" s="2"/>
      <c r="E4039" s="5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>
      <c r="A4040" s="4"/>
      <c r="B4040" s="2"/>
      <c r="C4040" s="2"/>
      <c r="D4040" s="2"/>
      <c r="E4040" s="5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</sheetData>
  <autoFilter ref="$A$1:$Z$4040"/>
  <dataValidations>
    <dataValidation type="list" allowBlank="1" showErrorMessage="1" sqref="E50:E53 E154:E158 E163:E4040">
      <formula1>Tabla!$J$2:$J$10</formula1>
    </dataValidation>
    <dataValidation type="list" allowBlank="1" showErrorMessage="1" sqref="A2:A4040">
      <formula1>Proveedores!$B$2:$B$7000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5"/>
    <col customWidth="1" min="2" max="2" width="12.5"/>
    <col customWidth="1" min="3" max="3" width="20.13"/>
    <col customWidth="1" min="4" max="4" width="10.25"/>
    <col customWidth="1" min="5" max="5" width="13.75"/>
    <col customWidth="1" min="6" max="6" width="15.38"/>
    <col customWidth="1" min="7" max="7" width="12.25"/>
    <col customWidth="1" min="8" max="8" width="18.25"/>
    <col customWidth="1" min="9" max="9" width="27.63"/>
    <col customWidth="1" min="10" max="10" width="7.38"/>
    <col customWidth="1" min="11" max="11" width="7.75"/>
    <col customWidth="1" min="12" max="12" width="10.0"/>
  </cols>
  <sheetData>
    <row r="1">
      <c r="A1" s="6" t="str">
        <f>IFERROR(__xludf.DUMMYFUNCTION("IMPORTRANGE(""https://docs.google.com/spreadsheets/d/1TwCEwAGTKG71RwBFItVRhvmhajnXyA4c1jZ_eMgN2OE/edit?gid=0#gid=0"",""Tabla!A:L"")"),"ID")</f>
        <v>ID</v>
      </c>
      <c r="B1" s="6" t="str">
        <f>IFERROR(__xludf.DUMMYFUNCTION("""COMPUTED_VALUE"""),"Proveedor")</f>
        <v>Proveedor</v>
      </c>
      <c r="C1" s="6" t="str">
        <f>IFERROR(__xludf.DUMMYFUNCTION("""COMPUTED_VALUE"""),"Razon social")</f>
        <v>Razon social</v>
      </c>
      <c r="D1" s="6" t="str">
        <f>IFERROR(__xludf.DUMMYFUNCTION("""COMPUTED_VALUE"""),"Cuit")</f>
        <v>Cuit</v>
      </c>
      <c r="E1" s="6" t="str">
        <f>IFERROR(__xludf.DUMMYFUNCTION("""COMPUTED_VALUE"""),"Contacto")</f>
        <v>Contacto</v>
      </c>
      <c r="F1" s="6" t="str">
        <f>IFERROR(__xludf.DUMMYFUNCTION("""COMPUTED_VALUE"""),"Rol")</f>
        <v>Rol</v>
      </c>
      <c r="G1" s="6" t="str">
        <f>IFERROR(__xludf.DUMMYFUNCTION("""COMPUTED_VALUE"""),"Tel")</f>
        <v>Tel</v>
      </c>
      <c r="H1" s="6" t="str">
        <f>IFERROR(__xludf.DUMMYFUNCTION("""COMPUTED_VALUE"""),"Correo")</f>
        <v>Correo</v>
      </c>
      <c r="I1" s="6" t="str">
        <f>IFERROR(__xludf.DUMMYFUNCTION("""COMPUTED_VALUE"""),"Direcccion")</f>
        <v>Direcccion</v>
      </c>
      <c r="J1" s="6" t="str">
        <f>IFERROR(__xludf.DUMMYFUNCTION("""COMPUTED_VALUE"""),"Provincia")</f>
        <v>Provincia</v>
      </c>
      <c r="K1" s="6" t="str">
        <f>IFERROR(__xludf.DUMMYFUNCTION("""COMPUTED_VALUE"""),"Ubicación")</f>
        <v>Ubicación</v>
      </c>
      <c r="L1" s="6" t="str">
        <f>IFERROR(__xludf.DUMMYFUNCTION("""COMPUTED_VALUE"""),"Contacto Log")</f>
        <v>Contacto Log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>
        <f>IFERROR(__xludf.DUMMYFUNCTION("""COMPUTED_VALUE"""),1.0)</f>
        <v>1</v>
      </c>
      <c r="B2" s="8" t="str">
        <f>IFERROR(__xludf.DUMMYFUNCTION("""COMPUTED_VALUE"""),"Aldrighetti Rudi")</f>
        <v>Aldrighetti Rudi</v>
      </c>
      <c r="C2" s="8" t="str">
        <f>IFERROR(__xludf.DUMMYFUNCTION("""COMPUTED_VALUE"""),"Aldrighetti Rudi")</f>
        <v>Aldrighetti Rudi</v>
      </c>
      <c r="D2" s="8" t="str">
        <f>IFERROR(__xludf.DUMMYFUNCTION("""COMPUTED_VALUE"""),"20-93597755-0")</f>
        <v>20-93597755-0</v>
      </c>
      <c r="E2" s="8" t="str">
        <f>IFERROR(__xludf.DUMMYFUNCTION("""COMPUTED_VALUE"""),"Roxana Aldrighetti")</f>
        <v>Roxana Aldrighetti</v>
      </c>
      <c r="F2" s="8" t="str">
        <f>IFERROR(__xludf.DUMMYFUNCTION("""COMPUTED_VALUE"""),"Socia")</f>
        <v>Socia</v>
      </c>
      <c r="G2" s="8" t="str">
        <f>IFERROR(__xludf.DUMMYFUNCTION("""COMPUTED_VALUE"""),"54 9 298 4386709")</f>
        <v>54 9 298 4386709</v>
      </c>
      <c r="H2" s="7"/>
      <c r="I2" s="8" t="str">
        <f>IFERROR(__xludf.DUMMYFUNCTION("""COMPUTED_VALUE"""),"Chacra 82 Lote A - Villa Regina")</f>
        <v>Chacra 82 Lote A - Villa Regina</v>
      </c>
      <c r="J2" s="8" t="str">
        <f>IFERROR(__xludf.DUMMYFUNCTION("""COMPUTED_VALUE"""),"Rio Negro")</f>
        <v>Rio Negro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>
        <f>IFERROR(__xludf.DUMMYFUNCTION("""COMPUTED_VALUE"""),1.0)</f>
        <v>1</v>
      </c>
      <c r="B3" s="8" t="str">
        <f>IFERROR(__xludf.DUMMYFUNCTION("""COMPUTED_VALUE"""),"Aldrighetti Rudi")</f>
        <v>Aldrighetti Rudi</v>
      </c>
      <c r="C3" s="8" t="str">
        <f>IFERROR(__xludf.DUMMYFUNCTION("""COMPUTED_VALUE"""),"Aldrighetti Rudi")</f>
        <v>Aldrighetti Rudi</v>
      </c>
      <c r="D3" s="8" t="str">
        <f>IFERROR(__xludf.DUMMYFUNCTION("""COMPUTED_VALUE"""),"20-93597755-0")</f>
        <v>20-93597755-0</v>
      </c>
      <c r="E3" s="8" t="str">
        <f>IFERROR(__xludf.DUMMYFUNCTION("""COMPUTED_VALUE"""),"Lily Aldrighetti")</f>
        <v>Lily Aldrighetti</v>
      </c>
      <c r="F3" s="8" t="str">
        <f>IFERROR(__xludf.DUMMYFUNCTION("""COMPUTED_VALUE"""),"Socia")</f>
        <v>Socia</v>
      </c>
      <c r="G3" s="8" t="str">
        <f>IFERROR(__xludf.DUMMYFUNCTION("""COMPUTED_VALUE"""),"54 9 298 4681168")</f>
        <v>54 9 298 4681168</v>
      </c>
      <c r="H3" s="7"/>
      <c r="I3" s="8" t="str">
        <f>IFERROR(__xludf.DUMMYFUNCTION("""COMPUTED_VALUE"""),"Chacra 82 Lote A - Villa Regina")</f>
        <v>Chacra 82 Lote A - Villa Regina</v>
      </c>
      <c r="J3" s="8" t="str">
        <f>IFERROR(__xludf.DUMMYFUNCTION("""COMPUTED_VALUE"""),"Rio Negro")</f>
        <v>Rio Negro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>
        <f>IFERROR(__xludf.DUMMYFUNCTION("""COMPUTED_VALUE"""),1.0)</f>
        <v>1</v>
      </c>
      <c r="B4" s="8" t="str">
        <f>IFERROR(__xludf.DUMMYFUNCTION("""COMPUTED_VALUE"""),"Aldrighetti Rudi")</f>
        <v>Aldrighetti Rudi</v>
      </c>
      <c r="C4" s="8" t="str">
        <f>IFERROR(__xludf.DUMMYFUNCTION("""COMPUTED_VALUE"""),"Aldrighetti Rudi")</f>
        <v>Aldrighetti Rudi</v>
      </c>
      <c r="D4" s="8" t="str">
        <f>IFERROR(__xludf.DUMMYFUNCTION("""COMPUTED_VALUE"""),"20-93597755-0")</f>
        <v>20-93597755-0</v>
      </c>
      <c r="E4" s="8" t="str">
        <f>IFERROR(__xludf.DUMMYFUNCTION("""COMPUTED_VALUE"""),"Joana")</f>
        <v>Joana</v>
      </c>
      <c r="F4" s="8" t="str">
        <f>IFERROR(__xludf.DUMMYFUNCTION("""COMPUTED_VALUE"""),"Ventas &amp; Coordinacion")</f>
        <v>Ventas &amp; Coordinacion</v>
      </c>
      <c r="G4" s="8" t="str">
        <f>IFERROR(__xludf.DUMMYFUNCTION("""COMPUTED_VALUE"""),"54 9 298 4241127")</f>
        <v>54 9 298 4241127</v>
      </c>
      <c r="H4" s="7"/>
      <c r="I4" s="8" t="str">
        <f>IFERROR(__xludf.DUMMYFUNCTION("""COMPUTED_VALUE"""),"Chacra 82 Lote A - Villa Regina")</f>
        <v>Chacra 82 Lote A - Villa Regina</v>
      </c>
      <c r="J4" s="8" t="str">
        <f>IFERROR(__xludf.DUMMYFUNCTION("""COMPUTED_VALUE"""),"Rio Negro")</f>
        <v>Rio Negro</v>
      </c>
      <c r="K4" s="7"/>
      <c r="L4" s="9" t="str">
        <f>IFERROR(__xludf.DUMMYFUNCTION("""COMPUTED_VALUE"""),"SI")</f>
        <v>SI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>
        <f>IFERROR(__xludf.DUMMYFUNCTION("""COMPUTED_VALUE"""),1.0)</f>
        <v>1</v>
      </c>
      <c r="B5" s="8" t="str">
        <f>IFERROR(__xludf.DUMMYFUNCTION("""COMPUTED_VALUE"""),"Battaglio")</f>
        <v>Battaglio</v>
      </c>
      <c r="C5" s="8" t="str">
        <f>IFERROR(__xludf.DUMMYFUNCTION("""COMPUTED_VALUE"""),"Battaglio Argentina S.A.")</f>
        <v>Battaglio Argentina S.A.</v>
      </c>
      <c r="D5" s="8" t="str">
        <f>IFERROR(__xludf.DUMMYFUNCTION("""COMPUTED_VALUE"""),"30-70816195-7")</f>
        <v>30-70816195-7</v>
      </c>
      <c r="E5" s="8" t="str">
        <f>IFERROR(__xludf.DUMMYFUNCTION("""COMPUTED_VALUE"""),"Tomas")</f>
        <v>Tomas</v>
      </c>
      <c r="F5" s="8" t="str">
        <f>IFERROR(__xludf.DUMMYFUNCTION("""COMPUTED_VALUE"""),"Ventas &amp; Coordinacion")</f>
        <v>Ventas &amp; Coordinacion</v>
      </c>
      <c r="G5" s="8" t="str">
        <f>IFERROR(__xludf.DUMMYFUNCTION("""COMPUTED_VALUE"""),"54 9 11 4960 6108")</f>
        <v>54 9 11 4960 6108</v>
      </c>
      <c r="H5" s="7"/>
      <c r="I5" s="8" t="str">
        <f>IFERROR(__xludf.DUMMYFUNCTION("""COMPUTED_VALUE"""),"Calle 11 865, B 6720 Pilar")</f>
        <v>Calle 11 865, B 6720 Pilar</v>
      </c>
      <c r="J5" s="8" t="str">
        <f>IFERROR(__xludf.DUMMYFUNCTION("""COMPUTED_VALUE"""),"Bs As")</f>
        <v>Bs As</v>
      </c>
      <c r="K5" s="7"/>
      <c r="L5" s="9" t="str">
        <f>IFERROR(__xludf.DUMMYFUNCTION("""COMPUTED_VALUE"""),"SI")</f>
        <v>SI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>
        <f>IFERROR(__xludf.DUMMYFUNCTION("""COMPUTED_VALUE"""),1.0)</f>
        <v>1</v>
      </c>
      <c r="B6" s="8" t="str">
        <f>IFERROR(__xludf.DUMMYFUNCTION("""COMPUTED_VALUE"""),"Battaglio")</f>
        <v>Battaglio</v>
      </c>
      <c r="C6" s="8" t="str">
        <f>IFERROR(__xludf.DUMMYFUNCTION("""COMPUTED_VALUE"""),"Battaglio Argentina S.A.")</f>
        <v>Battaglio Argentina S.A.</v>
      </c>
      <c r="D6" s="8" t="str">
        <f>IFERROR(__xludf.DUMMYFUNCTION("""COMPUTED_VALUE"""),"30-70816195-7")</f>
        <v>30-70816195-7</v>
      </c>
      <c r="E6" s="8" t="str">
        <f>IFERROR(__xludf.DUMMYFUNCTION("""COMPUTED_VALUE"""),"Sol")</f>
        <v>Sol</v>
      </c>
      <c r="F6" s="8" t="str">
        <f>IFERROR(__xludf.DUMMYFUNCTION("""COMPUTED_VALUE"""),"Administracion")</f>
        <v>Administracion</v>
      </c>
      <c r="G6" s="8" t="str">
        <f>IFERROR(__xludf.DUMMYFUNCTION("""COMPUTED_VALUE"""),"54 9 11 39163867")</f>
        <v>54 9 11 39163867</v>
      </c>
      <c r="H6" s="10" t="str">
        <f>IFERROR(__xludf.DUMMYFUNCTION("""COMPUTED_VALUE"""),"s.truccolo@battaglio.com.ar")</f>
        <v>s.truccolo@battaglio.com.ar</v>
      </c>
      <c r="I6" s="8" t="str">
        <f>IFERROR(__xludf.DUMMYFUNCTION("""COMPUTED_VALUE"""),"Calle 11 865, B 6720 Pilar")</f>
        <v>Calle 11 865, B 6720 Pilar</v>
      </c>
      <c r="J6" s="8" t="str">
        <f>IFERROR(__xludf.DUMMYFUNCTION("""COMPUTED_VALUE"""),"Bs As")</f>
        <v>Bs As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>
        <f>IFERROR(__xludf.DUMMYFUNCTION("""COMPUTED_VALUE"""),1.0)</f>
        <v>1</v>
      </c>
      <c r="B7" s="8" t="str">
        <f>IFERROR(__xludf.DUMMYFUNCTION("""COMPUTED_VALUE"""),"Contadini")</f>
        <v>Contadini</v>
      </c>
      <c r="C7" s="8" t="str">
        <f>IFERROR(__xludf.DUMMYFUNCTION("""COMPUTED_VALUE"""),"Contadini SRL")</f>
        <v>Contadini SRL</v>
      </c>
      <c r="D7" s="8" t="str">
        <f>IFERROR(__xludf.DUMMYFUNCTION("""COMPUTED_VALUE"""),"30-71589858-2")</f>
        <v>30-71589858-2</v>
      </c>
      <c r="E7" s="8" t="str">
        <f>IFERROR(__xludf.DUMMYFUNCTION("""COMPUTED_VALUE"""),"Carlos")</f>
        <v>Carlos</v>
      </c>
      <c r="F7" s="8" t="str">
        <f>IFERROR(__xludf.DUMMYFUNCTION("""COMPUTED_VALUE"""),"socio Vtas coordinacion")</f>
        <v>socio Vtas coordinacion</v>
      </c>
      <c r="G7" s="8" t="str">
        <f>IFERROR(__xludf.DUMMYFUNCTION("""COMPUTED_VALUE"""),"54 9 298 4226868")</f>
        <v>54 9 298 4226868</v>
      </c>
      <c r="H7" s="7"/>
      <c r="I7" s="8" t="str">
        <f>IFERROR(__xludf.DUMMYFUNCTION("""COMPUTED_VALUE"""),"Chacra 124 Lote 2A - Villa regina")</f>
        <v>Chacra 124 Lote 2A - Villa regina</v>
      </c>
      <c r="J7" s="8" t="str">
        <f>IFERROR(__xludf.DUMMYFUNCTION("""COMPUTED_VALUE"""),"Rio Negro")</f>
        <v>Rio Negro</v>
      </c>
      <c r="K7" s="7"/>
      <c r="L7" s="9" t="str">
        <f>IFERROR(__xludf.DUMMYFUNCTION("""COMPUTED_VALUE"""),"SI")</f>
        <v>SI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>
        <f>IFERROR(__xludf.DUMMYFUNCTION("""COMPUTED_VALUE"""),1.0)</f>
        <v>1</v>
      </c>
      <c r="B8" s="8" t="str">
        <f>IFERROR(__xludf.DUMMYFUNCTION("""COMPUTED_VALUE"""),"Ecco Argentina")</f>
        <v>Ecco Argentina</v>
      </c>
      <c r="C8" s="8" t="str">
        <f>IFERROR(__xludf.DUMMYFUNCTION("""COMPUTED_VALUE"""),"Coop. De Provision De Servicios")</f>
        <v>Coop. De Provision De Servicios</v>
      </c>
      <c r="D8" s="8" t="str">
        <f>IFERROR(__xludf.DUMMYFUNCTION("""COMPUTED_VALUE"""),"30-71717148-5")</f>
        <v>30-71717148-5</v>
      </c>
      <c r="E8" s="8" t="str">
        <f>IFERROR(__xludf.DUMMYFUNCTION("""COMPUTED_VALUE"""),"Juan Miguel Carballo")</f>
        <v>Juan Miguel Carballo</v>
      </c>
      <c r="F8" s="8" t="str">
        <f>IFERROR(__xludf.DUMMYFUNCTION("""COMPUTED_VALUE"""),"Ventas &amp; Coordinacion")</f>
        <v>Ventas &amp; Coordinacion</v>
      </c>
      <c r="G8" s="8" t="str">
        <f>IFERROR(__xludf.DUMMYFUNCTION("""COMPUTED_VALUE"""),"54 9 223 5415097")</f>
        <v>54 9 223 5415097</v>
      </c>
      <c r="H8" s="7"/>
      <c r="I8" s="8" t="str">
        <f>IFERROR(__xludf.DUMMYFUNCTION("""COMPUTED_VALUE"""),"Ruta 77 Km 8 - Miramar (General Alvarado).")</f>
        <v>Ruta 77 Km 8 - Miramar (General Alvarado).</v>
      </c>
      <c r="J8" s="8" t="str">
        <f>IFERROR(__xludf.DUMMYFUNCTION("""COMPUTED_VALUE"""),"Bs As")</f>
        <v>Bs As</v>
      </c>
      <c r="K8" s="7"/>
      <c r="L8" s="9" t="str">
        <f>IFERROR(__xludf.DUMMYFUNCTION("""COMPUTED_VALUE"""),"SI")</f>
        <v>SI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>
        <f>IFERROR(__xludf.DUMMYFUNCTION("""COMPUTED_VALUE"""),1.0)</f>
        <v>1</v>
      </c>
      <c r="B9" s="8" t="str">
        <f>IFERROR(__xludf.DUMMYFUNCTION("""COMPUTED_VALUE"""),"Ecco Argentina")</f>
        <v>Ecco Argentina</v>
      </c>
      <c r="C9" s="8" t="str">
        <f>IFERROR(__xludf.DUMMYFUNCTION("""COMPUTED_VALUE"""),"Coop. De Provision De Servicios")</f>
        <v>Coop. De Provision De Servicios</v>
      </c>
      <c r="D9" s="8" t="str">
        <f>IFERROR(__xludf.DUMMYFUNCTION("""COMPUTED_VALUE"""),"30-71717148-5")</f>
        <v>30-71717148-5</v>
      </c>
      <c r="E9" s="8" t="str">
        <f>IFERROR(__xludf.DUMMYFUNCTION("""COMPUTED_VALUE"""),"Aldana")</f>
        <v>Aldana</v>
      </c>
      <c r="F9" s="8" t="str">
        <f>IFERROR(__xludf.DUMMYFUNCTION("""COMPUTED_VALUE"""),"Administracion")</f>
        <v>Administracion</v>
      </c>
      <c r="G9" s="8" t="str">
        <f>IFERROR(__xludf.DUMMYFUNCTION("""COMPUTED_VALUE"""),"54 9 223 5951479")</f>
        <v>54 9 223 5951479</v>
      </c>
      <c r="H9" s="7"/>
      <c r="I9" s="8" t="str">
        <f>IFERROR(__xludf.DUMMYFUNCTION("""COMPUTED_VALUE"""),"Ruta 77 Km 8 - Miramar (General Alvarado).")</f>
        <v>Ruta 77 Km 8 - Miramar (General Alvarado).</v>
      </c>
      <c r="J9" s="8" t="str">
        <f>IFERROR(__xludf.DUMMYFUNCTION("""COMPUTED_VALUE"""),"Bs As")</f>
        <v>Bs As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>
        <f>IFERROR(__xludf.DUMMYFUNCTION("""COMPUTED_VALUE"""),1.0)</f>
        <v>1</v>
      </c>
      <c r="B10" s="8" t="str">
        <f>IFERROR(__xludf.DUMMYFUNCTION("""COMPUTED_VALUE"""),"Escorpio")</f>
        <v>Escorpio</v>
      </c>
      <c r="C10" s="8" t="str">
        <f>IFERROR(__xludf.DUMMYFUNCTION("""COMPUTED_VALUE"""),"Frutas Escorpio SRL")</f>
        <v>Frutas Escorpio SRL</v>
      </c>
      <c r="D10" s="8" t="str">
        <f>IFERROR(__xludf.DUMMYFUNCTION("""COMPUTED_VALUE"""),"30-70949351-1")</f>
        <v>30-70949351-1</v>
      </c>
      <c r="E10" s="8" t="str">
        <f>IFERROR(__xludf.DUMMYFUNCTION("""COMPUTED_VALUE"""),"Martin Lopez")</f>
        <v>Martin Lopez</v>
      </c>
      <c r="F10" s="8" t="str">
        <f>IFERROR(__xludf.DUMMYFUNCTION("""COMPUTED_VALUE"""),"Socio")</f>
        <v>Socio</v>
      </c>
      <c r="G10" s="8" t="str">
        <f>IFERROR(__xludf.DUMMYFUNCTION("""COMPUTED_VALUE"""),"54 9 298 4501527")</f>
        <v>54 9 298 4501527</v>
      </c>
      <c r="H10" s="7"/>
      <c r="I10" s="8" t="str">
        <f>IFERROR(__xludf.DUMMYFUNCTION("""COMPUTED_VALUE"""),"España 172 - Villa Regina")</f>
        <v>España 172 - Villa Regina</v>
      </c>
      <c r="J10" s="8" t="str">
        <f>IFERROR(__xludf.DUMMYFUNCTION("""COMPUTED_VALUE"""),"Rio Negro")</f>
        <v>Rio Negro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>
        <f>IFERROR(__xludf.DUMMYFUNCTION("""COMPUTED_VALUE"""),1.0)</f>
        <v>1</v>
      </c>
      <c r="B11" s="8" t="str">
        <f>IFERROR(__xludf.DUMMYFUNCTION("""COMPUTED_VALUE"""),"Escorpio")</f>
        <v>Escorpio</v>
      </c>
      <c r="C11" s="8" t="str">
        <f>IFERROR(__xludf.DUMMYFUNCTION("""COMPUTED_VALUE"""),"Frutas Escorpio SRL")</f>
        <v>Frutas Escorpio SRL</v>
      </c>
      <c r="D11" s="8" t="str">
        <f>IFERROR(__xludf.DUMMYFUNCTION("""COMPUTED_VALUE"""),"30-70949351-1")</f>
        <v>30-70949351-1</v>
      </c>
      <c r="E11" s="8" t="str">
        <f>IFERROR(__xludf.DUMMYFUNCTION("""COMPUTED_VALUE"""),"Natalia")</f>
        <v>Natalia</v>
      </c>
      <c r="F11" s="8" t="str">
        <f>IFERROR(__xludf.DUMMYFUNCTION("""COMPUTED_VALUE"""),"Ventas &amp; Coordinacion")</f>
        <v>Ventas &amp; Coordinacion</v>
      </c>
      <c r="G11" s="8" t="str">
        <f>IFERROR(__xludf.DUMMYFUNCTION("""COMPUTED_VALUE"""),"54 9 298 450 6006")</f>
        <v>54 9 298 450 6006</v>
      </c>
      <c r="H11" s="7"/>
      <c r="I11" s="8" t="str">
        <f>IFERROR(__xludf.DUMMYFUNCTION("""COMPUTED_VALUE"""),"España 172 - Villa Regina")</f>
        <v>España 172 - Villa Regina</v>
      </c>
      <c r="J11" s="8" t="str">
        <f>IFERROR(__xludf.DUMMYFUNCTION("""COMPUTED_VALUE"""),"Rio Negro")</f>
        <v>Rio Negro</v>
      </c>
      <c r="K11" s="7"/>
      <c r="L11" s="9" t="str">
        <f>IFERROR(__xludf.DUMMYFUNCTION("""COMPUTED_VALUE"""),"SI")</f>
        <v>SI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>
        <f>IFERROR(__xludf.DUMMYFUNCTION("""COMPUTED_VALUE"""),1.0)</f>
        <v>1</v>
      </c>
      <c r="B12" s="8" t="str">
        <f>IFERROR(__xludf.DUMMYFUNCTION("""COMPUTED_VALUE"""),"Escorpio")</f>
        <v>Escorpio</v>
      </c>
      <c r="C12" s="8" t="str">
        <f>IFERROR(__xludf.DUMMYFUNCTION("""COMPUTED_VALUE"""),"Frutas Escorpio SRL")</f>
        <v>Frutas Escorpio SRL</v>
      </c>
      <c r="D12" s="8" t="str">
        <f>IFERROR(__xludf.DUMMYFUNCTION("""COMPUTED_VALUE"""),"30-70949351-1")</f>
        <v>30-70949351-1</v>
      </c>
      <c r="E12" s="8" t="str">
        <f>IFERROR(__xludf.DUMMYFUNCTION("""COMPUTED_VALUE"""),"Veronica")</f>
        <v>Veronica</v>
      </c>
      <c r="F12" s="8" t="str">
        <f>IFERROR(__xludf.DUMMYFUNCTION("""COMPUTED_VALUE"""),"Administracion")</f>
        <v>Administracion</v>
      </c>
      <c r="G12" s="8" t="str">
        <f>IFERROR(__xludf.DUMMYFUNCTION("""COMPUTED_VALUE"""),"54 9 298 4569612")</f>
        <v>54 9 298 4569612</v>
      </c>
      <c r="H12" s="7"/>
      <c r="I12" s="8" t="str">
        <f>IFERROR(__xludf.DUMMYFUNCTION("""COMPUTED_VALUE"""),"España 172 - Villa Regina")</f>
        <v>España 172 - Villa Regina</v>
      </c>
      <c r="J12" s="8" t="str">
        <f>IFERROR(__xludf.DUMMYFUNCTION("""COMPUTED_VALUE"""),"Rio Negro")</f>
        <v>Rio Negro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>
        <f>IFERROR(__xludf.DUMMYFUNCTION("""COMPUTED_VALUE"""),1.0)</f>
        <v>1</v>
      </c>
      <c r="B13" s="8" t="str">
        <f>IFERROR(__xludf.DUMMYFUNCTION("""COMPUTED_VALUE"""),"Martin Garcia")</f>
        <v>Martin Garcia</v>
      </c>
      <c r="C13" s="8" t="str">
        <f>IFERROR(__xludf.DUMMYFUNCTION("""COMPUTED_VALUE"""),"Maga SRL")</f>
        <v>Maga SRL</v>
      </c>
      <c r="D13" s="8" t="str">
        <f>IFERROR(__xludf.DUMMYFUNCTION("""COMPUTED_VALUE"""),"30-71034184-9")</f>
        <v>30-71034184-9</v>
      </c>
      <c r="E13" s="8" t="str">
        <f>IFERROR(__xludf.DUMMYFUNCTION("""COMPUTED_VALUE"""),"Martin")</f>
        <v>Martin</v>
      </c>
      <c r="F13" s="8" t="str">
        <f>IFERROR(__xludf.DUMMYFUNCTION("""COMPUTED_VALUE"""),"socio Vtas coordinacion")</f>
        <v>socio Vtas coordinacion</v>
      </c>
      <c r="G13" s="8" t="str">
        <f>IFERROR(__xludf.DUMMYFUNCTION("""COMPUTED_VALUE"""),"54 9 298 4317454")</f>
        <v>54 9 298 4317454</v>
      </c>
      <c r="H13" s="7"/>
      <c r="I13" s="8" t="str">
        <f>IFERROR(__xludf.DUMMYFUNCTION("""COMPUTED_VALUE"""),"Chacra 83 Lote 2 - Villa Regina")</f>
        <v>Chacra 83 Lote 2 - Villa Regina</v>
      </c>
      <c r="J13" s="8" t="str">
        <f>IFERROR(__xludf.DUMMYFUNCTION("""COMPUTED_VALUE"""),"Rio Negro")</f>
        <v>Rio Negro</v>
      </c>
      <c r="K13" s="7" t="str">
        <f>IFERROR(__xludf.DUMMYFUNCTION("""COMPUTED_VALUE"""),"39°06'54.0""S 67°04'26.5""W")</f>
        <v>39°06'54.0"S 67°04'26.5"W</v>
      </c>
      <c r="L13" s="9" t="str">
        <f>IFERROR(__xludf.DUMMYFUNCTION("""COMPUTED_VALUE"""),"SI")</f>
        <v>SI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>
        <f>IFERROR(__xludf.DUMMYFUNCTION("""COMPUTED_VALUE"""),1.0)</f>
        <v>1</v>
      </c>
      <c r="B14" s="8" t="str">
        <f>IFERROR(__xludf.DUMMYFUNCTION("""COMPUTED_VALUE"""),"Daniel Juvel")</f>
        <v>Daniel Juvel</v>
      </c>
      <c r="C14" s="7"/>
      <c r="D14" s="7"/>
      <c r="E14" s="8" t="str">
        <f>IFERROR(__xludf.DUMMYFUNCTION("""COMPUTED_VALUE"""),"Daniel")</f>
        <v>Daniel</v>
      </c>
      <c r="F14" s="8" t="str">
        <f>IFERROR(__xludf.DUMMYFUNCTION("""COMPUTED_VALUE"""),"socio Vtas coordinacion")</f>
        <v>socio Vtas coordinacion</v>
      </c>
      <c r="G14" s="8" t="str">
        <f>IFERROR(__xludf.DUMMYFUNCTION("""COMPUTED_VALUE"""),"54 9 263 4588124")</f>
        <v>54 9 263 4588124</v>
      </c>
      <c r="H14" s="7"/>
      <c r="I14" s="8" t="str">
        <f>IFERROR(__xludf.DUMMYFUNCTION("""COMPUTED_VALUE"""),"C Tobares - Junin")</f>
        <v>C Tobares - Junin</v>
      </c>
      <c r="J14" s="8" t="str">
        <f>IFERROR(__xludf.DUMMYFUNCTION("""COMPUTED_VALUE"""),"Mendoza")</f>
        <v>Mendoza</v>
      </c>
      <c r="K14" s="7"/>
      <c r="L14" s="9" t="str">
        <f>IFERROR(__xludf.DUMMYFUNCTION("""COMPUTED_VALUE"""),"SI")</f>
        <v>SI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>
        <f>IFERROR(__xludf.DUMMYFUNCTION("""COMPUTED_VALUE"""),1.0)</f>
        <v>1</v>
      </c>
      <c r="B15" s="8" t="str">
        <f>IFERROR(__xludf.DUMMYFUNCTION("""COMPUTED_VALUE"""),"Hacienda Martinez")</f>
        <v>Hacienda Martinez</v>
      </c>
      <c r="C15" s="8" t="str">
        <f>IFERROR(__xludf.DUMMYFUNCTION("""COMPUTED_VALUE"""),"Hacienda Martinez SRL")</f>
        <v>Hacienda Martinez SRL</v>
      </c>
      <c r="D15" s="8" t="str">
        <f>IFERROR(__xludf.DUMMYFUNCTION("""COMPUTED_VALUE"""),"30-71214476-5")</f>
        <v>30-71214476-5</v>
      </c>
      <c r="E15" s="8" t="str">
        <f>IFERROR(__xludf.DUMMYFUNCTION("""COMPUTED_VALUE"""),"Esteban Cabezas")</f>
        <v>Esteban Cabezas</v>
      </c>
      <c r="F15" s="8" t="str">
        <f>IFERROR(__xludf.DUMMYFUNCTION("""COMPUTED_VALUE"""),"Socio Vtas")</f>
        <v>Socio Vtas</v>
      </c>
      <c r="G15" s="8" t="str">
        <f>IFERROR(__xludf.DUMMYFUNCTION("""COMPUTED_VALUE"""),"54 9 298 4523016")</f>
        <v>54 9 298 4523016</v>
      </c>
      <c r="H15" s="7"/>
      <c r="I15" s="8" t="str">
        <f>IFERROR(__xludf.DUMMYFUNCTION("""COMPUTED_VALUE"""),"Los 3 puentes, frio 2 - Godoy")</f>
        <v>Los 3 puentes, frio 2 - Godoy</v>
      </c>
      <c r="J15" s="8" t="str">
        <f>IFERROR(__xludf.DUMMYFUNCTION("""COMPUTED_VALUE"""),"Rio Negro")</f>
        <v>Rio Negro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>
        <f>IFERROR(__xludf.DUMMYFUNCTION("""COMPUTED_VALUE"""),1.0)</f>
        <v>1</v>
      </c>
      <c r="B16" s="8" t="str">
        <f>IFERROR(__xludf.DUMMYFUNCTION("""COMPUTED_VALUE"""),"Nieveterna")</f>
        <v>Nieveterna</v>
      </c>
      <c r="C16" s="7"/>
      <c r="D16" s="7"/>
      <c r="E16" s="8" t="str">
        <f>IFERROR(__xludf.DUMMYFUNCTION("""COMPUTED_VALUE"""),"Ariel")</f>
        <v>Ariel</v>
      </c>
      <c r="F16" s="8" t="str">
        <f>IFERROR(__xludf.DUMMYFUNCTION("""COMPUTED_VALUE"""),"socio Vtas coordinacion")</f>
        <v>socio Vtas coordinacion</v>
      </c>
      <c r="G16" s="8" t="str">
        <f>IFERROR(__xludf.DUMMYFUNCTION("""COMPUTED_VALUE"""),"54 9 261 4719439")</f>
        <v>54 9 261 4719439</v>
      </c>
      <c r="H16" s="7"/>
      <c r="I16" s="7"/>
      <c r="J16" s="8" t="str">
        <f>IFERROR(__xludf.DUMMYFUNCTION("""COMPUTED_VALUE"""),"Mendoza")</f>
        <v>Mendoza</v>
      </c>
      <c r="K16" s="7"/>
      <c r="L16" s="9" t="str">
        <f>IFERROR(__xludf.DUMMYFUNCTION("""COMPUTED_VALUE"""),"SI")</f>
        <v>SI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>
        <f>IFERROR(__xludf.DUMMYFUNCTION("""COMPUTED_VALUE"""),1.0)</f>
        <v>1</v>
      </c>
      <c r="B17" s="8" t="str">
        <f>IFERROR(__xludf.DUMMYFUNCTION("""COMPUTED_VALUE"""),"Pinino")</f>
        <v>Pinino</v>
      </c>
      <c r="C17" s="7"/>
      <c r="D17" s="7"/>
      <c r="E17" s="8" t="str">
        <f>IFERROR(__xludf.DUMMYFUNCTION("""COMPUTED_VALUE"""),"Yanina")</f>
        <v>Yanina</v>
      </c>
      <c r="F17" s="8" t="str">
        <f>IFERROR(__xludf.DUMMYFUNCTION("""COMPUTED_VALUE"""),"Socia Vtas coordinacion")</f>
        <v>Socia Vtas coordinacion</v>
      </c>
      <c r="G17" s="8" t="str">
        <f>IFERROR(__xludf.DUMMYFUNCTION("""COMPUTED_VALUE"""),"54 9 261 5594558")</f>
        <v>54 9 261 5594558</v>
      </c>
      <c r="H17" s="7"/>
      <c r="I17" s="8" t="str">
        <f>IFERROR(__xludf.DUMMYFUNCTION("""COMPUTED_VALUE"""),"Infanta Isabel 7421 - Mendoza")</f>
        <v>Infanta Isabel 7421 - Mendoza</v>
      </c>
      <c r="J17" s="8" t="str">
        <f>IFERROR(__xludf.DUMMYFUNCTION("""COMPUTED_VALUE"""),"Mendoza")</f>
        <v>Mendoza</v>
      </c>
      <c r="K17" s="7"/>
      <c r="L17" s="9" t="str">
        <f>IFERROR(__xludf.DUMMYFUNCTION("""COMPUTED_VALUE"""),"SI")</f>
        <v>SI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 t="str">
        <f>IFERROR(__xludf.DUMMYFUNCTION("""COMPUTED_VALUE"""),"")</f>
        <v/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 t="str">
        <f>IFERROR(__xludf.DUMMYFUNCTION("""COMPUTED_VALUE"""),"")</f>
        <v/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 t="str">
        <f>IFERROR(__xludf.DUMMYFUNCTION("""COMPUTED_VALUE"""),"")</f>
        <v/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 t="str">
        <f>IFERROR(__xludf.DUMMYFUNCTION("""COMPUTED_VALUE"""),"")</f>
        <v/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 t="str">
        <f>IFERROR(__xludf.DUMMYFUNCTION("""COMPUTED_VALUE"""),"")</f>
        <v/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 t="str">
        <f>IFERROR(__xludf.DUMMYFUNCTION("""COMPUTED_VALUE"""),"")</f>
        <v/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 t="str">
        <f>IFERROR(__xludf.DUMMYFUNCTION("""COMPUTED_VALUE"""),"")</f>
        <v/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 t="str">
        <f>IFERROR(__xludf.DUMMYFUNCTION("""COMPUTED_VALUE"""),"")</f>
        <v/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 t="str">
        <f>IFERROR(__xludf.DUMMYFUNCTION("""COMPUTED_VALUE"""),"")</f>
        <v/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 t="str">
        <f>IFERROR(__xludf.DUMMYFUNCTION("""COMPUTED_VALUE"""),"")</f>
        <v/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 t="str">
        <f>IFERROR(__xludf.DUMMYFUNCTION("""COMPUTED_VALUE"""),"")</f>
        <v/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 t="str">
        <f>IFERROR(__xludf.DUMMYFUNCTION("""COMPUTED_VALUE"""),"")</f>
        <v/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 t="str">
        <f>IFERROR(__xludf.DUMMYFUNCTION("""COMPUTED_VALUE"""),"")</f>
        <v/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 t="str">
        <f>IFERROR(__xludf.DUMMYFUNCTION("""COMPUTED_VALUE"""),"")</f>
        <v/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 t="str">
        <f>IFERROR(__xludf.DUMMYFUNCTION("""COMPUTED_VALUE"""),"")</f>
        <v/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 t="str">
        <f>IFERROR(__xludf.DUMMYFUNCTION("""COMPUTED_VALUE"""),"")</f>
        <v/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 t="str">
        <f>IFERROR(__xludf.DUMMYFUNCTION("""COMPUTED_VALUE"""),"")</f>
        <v/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 t="str">
        <f>IFERROR(__xludf.DUMMYFUNCTION("""COMPUTED_VALUE"""),"")</f>
        <v/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 t="str">
        <f>IFERROR(__xludf.DUMMYFUNCTION("""COMPUTED_VALUE"""),"")</f>
        <v/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 t="str">
        <f>IFERROR(__xludf.DUMMYFUNCTION("""COMPUTED_VALUE"""),"")</f>
        <v/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 t="str">
        <f>IFERROR(__xludf.DUMMYFUNCTION("""COMPUTED_VALUE"""),"")</f>
        <v/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 t="str">
        <f>IFERROR(__xludf.DUMMYFUNCTION("""COMPUTED_VALUE"""),"")</f>
        <v/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 t="str">
        <f>IFERROR(__xludf.DUMMYFUNCTION("""COMPUTED_VALUE"""),"")</f>
        <v/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 t="str">
        <f>IFERROR(__xludf.DUMMYFUNCTION("""COMPUTED_VALUE"""),"")</f>
        <v/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 t="str">
        <f>IFERROR(__xludf.DUMMYFUNCTION("""COMPUTED_VALUE"""),"")</f>
        <v/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 t="str">
        <f>IFERROR(__xludf.DUMMYFUNCTION("""COMPUTED_VALUE"""),"")</f>
        <v/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 t="str">
        <f>IFERROR(__xludf.DUMMYFUNCTION("""COMPUTED_VALUE"""),"")</f>
        <v/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 t="str">
        <f>IFERROR(__xludf.DUMMYFUNCTION("""COMPUTED_VALUE"""),"")</f>
        <v/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 t="str">
        <f>IFERROR(__xludf.DUMMYFUNCTION("""COMPUTED_VALUE"""),"")</f>
        <v/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 t="str">
        <f>IFERROR(__xludf.DUMMYFUNCTION("""COMPUTED_VALUE"""),"")</f>
        <v/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 t="str">
        <f>IFERROR(__xludf.DUMMYFUNCTION("""COMPUTED_VALUE"""),"")</f>
        <v/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 t="str">
        <f>IFERROR(__xludf.DUMMYFUNCTION("""COMPUTED_VALUE"""),"")</f>
        <v/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 t="str">
        <f>IFERROR(__xludf.DUMMYFUNCTION("""COMPUTED_VALUE"""),"")</f>
        <v/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 t="str">
        <f>IFERROR(__xludf.DUMMYFUNCTION("""COMPUTED_VALUE"""),"")</f>
        <v/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 t="str">
        <f>IFERROR(__xludf.DUMMYFUNCTION("""COMPUTED_VALUE"""),"")</f>
        <v/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 t="str">
        <f>IFERROR(__xludf.DUMMYFUNCTION("""COMPUTED_VALUE"""),"")</f>
        <v/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 t="str">
        <f>IFERROR(__xludf.DUMMYFUNCTION("""COMPUTED_VALUE"""),"")</f>
        <v/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 t="str">
        <f>IFERROR(__xludf.DUMMYFUNCTION("""COMPUTED_VALUE"""),"")</f>
        <v/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 t="str">
        <f>IFERROR(__xludf.DUMMYFUNCTION("""COMPUTED_VALUE"""),"")</f>
        <v/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 t="str">
        <f>IFERROR(__xludf.DUMMYFUNCTION("""COMPUTED_VALUE"""),"")</f>
        <v/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 t="str">
        <f>IFERROR(__xludf.DUMMYFUNCTION("""COMPUTED_VALUE"""),"")</f>
        <v/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 t="str">
        <f>IFERROR(__xludf.DUMMYFUNCTION("""COMPUTED_VALUE"""),"")</f>
        <v/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 t="str">
        <f>IFERROR(__xludf.DUMMYFUNCTION("""COMPUTED_VALUE"""),"")</f>
        <v/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 t="str">
        <f>IFERROR(__xludf.DUMMYFUNCTION("""COMPUTED_VALUE"""),"")</f>
        <v/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 t="str">
        <f>IFERROR(__xludf.DUMMYFUNCTION("""COMPUTED_VALUE"""),"")</f>
        <v/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 t="str">
        <f>IFERROR(__xludf.DUMMYFUNCTION("""COMPUTED_VALUE"""),"")</f>
        <v/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 t="str">
        <f>IFERROR(__xludf.DUMMYFUNCTION("""COMPUTED_VALUE"""),"")</f>
        <v/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 t="str">
        <f>IFERROR(__xludf.DUMMYFUNCTION("""COMPUTED_VALUE"""),"")</f>
        <v/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 t="str">
        <f>IFERROR(__xludf.DUMMYFUNCTION("""COMPUTED_VALUE"""),"")</f>
        <v/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 t="str">
        <f>IFERROR(__xludf.DUMMYFUNCTION("""COMPUTED_VALUE"""),"")</f>
        <v/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 t="str">
        <f>IFERROR(__xludf.DUMMYFUNCTION("""COMPUTED_VALUE"""),"")</f>
        <v/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 t="str">
        <f>IFERROR(__xludf.DUMMYFUNCTION("""COMPUTED_VALUE"""),"")</f>
        <v/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 t="str">
        <f>IFERROR(__xludf.DUMMYFUNCTION("""COMPUTED_VALUE"""),"")</f>
        <v/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 t="str">
        <f>IFERROR(__xludf.DUMMYFUNCTION("""COMPUTED_VALUE"""),"")</f>
        <v/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 t="str">
        <f>IFERROR(__xludf.DUMMYFUNCTION("""COMPUTED_VALUE"""),"")</f>
        <v/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 t="str">
        <f>IFERROR(__xludf.DUMMYFUNCTION("""COMPUTED_VALUE"""),"")</f>
        <v/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 t="str">
        <f>IFERROR(__xludf.DUMMYFUNCTION("""COMPUTED_VALUE"""),"")</f>
        <v/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 t="str">
        <f>IFERROR(__xludf.DUMMYFUNCTION("""COMPUTED_VALUE"""),"")</f>
        <v/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 t="str">
        <f>IFERROR(__xludf.DUMMYFUNCTION("""COMPUTED_VALUE"""),"")</f>
        <v/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 t="str">
        <f>IFERROR(__xludf.DUMMYFUNCTION("""COMPUTED_VALUE"""),"")</f>
        <v/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 t="str">
        <f>IFERROR(__xludf.DUMMYFUNCTION("""COMPUTED_VALUE"""),"")</f>
        <v/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 t="str">
        <f>IFERROR(__xludf.DUMMYFUNCTION("""COMPUTED_VALUE"""),"")</f>
        <v/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 t="str">
        <f>IFERROR(__xludf.DUMMYFUNCTION("""COMPUTED_VALUE"""),"")</f>
        <v/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 t="str">
        <f>IFERROR(__xludf.DUMMYFUNCTION("""COMPUTED_VALUE"""),"")</f>
        <v/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 t="str">
        <f>IFERROR(__xludf.DUMMYFUNCTION("""COMPUTED_VALUE"""),"")</f>
        <v/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 t="str">
        <f>IFERROR(__xludf.DUMMYFUNCTION("""COMPUTED_VALUE"""),"")</f>
        <v/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 t="str">
        <f>IFERROR(__xludf.DUMMYFUNCTION("""COMPUTED_VALUE"""),"")</f>
        <v/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 t="str">
        <f>IFERROR(__xludf.DUMMYFUNCTION("""COMPUTED_VALUE"""),"")</f>
        <v/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 t="str">
        <f>IFERROR(__xludf.DUMMYFUNCTION("""COMPUTED_VALUE"""),"")</f>
        <v/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 t="str">
        <f>IFERROR(__xludf.DUMMYFUNCTION("""COMPUTED_VALUE"""),"")</f>
        <v/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 t="str">
        <f>IFERROR(__xludf.DUMMYFUNCTION("""COMPUTED_VALUE"""),"")</f>
        <v/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 t="str">
        <f>IFERROR(__xludf.DUMMYFUNCTION("""COMPUTED_VALUE"""),"")</f>
        <v/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 t="str">
        <f>IFERROR(__xludf.DUMMYFUNCTION("""COMPUTED_VALUE"""),"")</f>
        <v/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 t="str">
        <f>IFERROR(__xludf.DUMMYFUNCTION("""COMPUTED_VALUE"""),"")</f>
        <v/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 t="str">
        <f>IFERROR(__xludf.DUMMYFUNCTION("""COMPUTED_VALUE"""),"")</f>
        <v/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 t="str">
        <f>IFERROR(__xludf.DUMMYFUNCTION("""COMPUTED_VALUE"""),"")</f>
        <v/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 t="str">
        <f>IFERROR(__xludf.DUMMYFUNCTION("""COMPUTED_VALUE"""),"")</f>
        <v/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 t="str">
        <f>IFERROR(__xludf.DUMMYFUNCTION("""COMPUTED_VALUE"""),"")</f>
        <v/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 t="str">
        <f>IFERROR(__xludf.DUMMYFUNCTION("""COMPUTED_VALUE"""),"")</f>
        <v/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 t="str">
        <f>IFERROR(__xludf.DUMMYFUNCTION("""COMPUTED_VALUE"""),"")</f>
        <v/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 t="str">
        <f>IFERROR(__xludf.DUMMYFUNCTION("""COMPUTED_VALUE"""),"")</f>
        <v/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 t="str">
        <f>IFERROR(__xludf.DUMMYFUNCTION("""COMPUTED_VALUE"""),"")</f>
        <v/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 t="str">
        <f>IFERROR(__xludf.DUMMYFUNCTION("""COMPUTED_VALUE"""),"")</f>
        <v/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 t="str">
        <f>IFERROR(__xludf.DUMMYFUNCTION("""COMPUTED_VALUE"""),"")</f>
        <v/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 t="str">
        <f>IFERROR(__xludf.DUMMYFUNCTION("""COMPUTED_VALUE"""),"")</f>
        <v/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 t="str">
        <f>IFERROR(__xludf.DUMMYFUNCTION("""COMPUTED_VALUE"""),"")</f>
        <v/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 t="str">
        <f>IFERROR(__xludf.DUMMYFUNCTION("""COMPUTED_VALUE"""),"")</f>
        <v/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 t="str">
        <f>IFERROR(__xludf.DUMMYFUNCTION("""COMPUTED_VALUE"""),"")</f>
        <v/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 t="str">
        <f>IFERROR(__xludf.DUMMYFUNCTION("""COMPUTED_VALUE"""),"")</f>
        <v/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 t="str">
        <f>IFERROR(__xludf.DUMMYFUNCTION("""COMPUTED_VALUE"""),"")</f>
        <v/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 t="str">
        <f>IFERROR(__xludf.DUMMYFUNCTION("""COMPUTED_VALUE"""),"")</f>
        <v/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 t="str">
        <f>IFERROR(__xludf.DUMMYFUNCTION("""COMPUTED_VALUE"""),"")</f>
        <v/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 t="str">
        <f>IFERROR(__xludf.DUMMYFUNCTION("""COMPUTED_VALUE"""),"")</f>
        <v/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 t="str">
        <f>IFERROR(__xludf.DUMMYFUNCTION("""COMPUTED_VALUE"""),"")</f>
        <v/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 t="str">
        <f>IFERROR(__xludf.DUMMYFUNCTION("""COMPUTED_VALUE"""),"")</f>
        <v/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 t="str">
        <f>IFERROR(__xludf.DUMMYFUNCTION("""COMPUTED_VALUE"""),"")</f>
        <v/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 t="str">
        <f>IFERROR(__xludf.DUMMYFUNCTION("""COMPUTED_VALUE"""),"")</f>
        <v/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 t="str">
        <f>IFERROR(__xludf.DUMMYFUNCTION("""COMPUTED_VALUE"""),"")</f>
        <v/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 t="str">
        <f>IFERROR(__xludf.DUMMYFUNCTION("""COMPUTED_VALUE"""),"")</f>
        <v/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 t="str">
        <f>IFERROR(__xludf.DUMMYFUNCTION("""COMPUTED_VALUE"""),"")</f>
        <v/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 t="str">
        <f>IFERROR(__xludf.DUMMYFUNCTION("""COMPUTED_VALUE"""),"")</f>
        <v/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 t="str">
        <f>IFERROR(__xludf.DUMMYFUNCTION("""COMPUTED_VALUE"""),"")</f>
        <v/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 t="str">
        <f>IFERROR(__xludf.DUMMYFUNCTION("""COMPUTED_VALUE"""),"")</f>
        <v/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 t="str">
        <f>IFERROR(__xludf.DUMMYFUNCTION("""COMPUTED_VALUE"""),"")</f>
        <v/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 t="str">
        <f>IFERROR(__xludf.DUMMYFUNCTION("""COMPUTED_VALUE"""),"")</f>
        <v/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 t="str">
        <f>IFERROR(__xludf.DUMMYFUNCTION("""COMPUTED_VALUE"""),"")</f>
        <v/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 t="str">
        <f>IFERROR(__xludf.DUMMYFUNCTION("""COMPUTED_VALUE"""),"")</f>
        <v/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 t="str">
        <f>IFERROR(__xludf.DUMMYFUNCTION("""COMPUTED_VALUE"""),"")</f>
        <v/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 t="str">
        <f>IFERROR(__xludf.DUMMYFUNCTION("""COMPUTED_VALUE"""),"")</f>
        <v/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 t="str">
        <f>IFERROR(__xludf.DUMMYFUNCTION("""COMPUTED_VALUE"""),"")</f>
        <v/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 t="str">
        <f>IFERROR(__xludf.DUMMYFUNCTION("""COMPUTED_VALUE"""),"")</f>
        <v/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 t="str">
        <f>IFERROR(__xludf.DUMMYFUNCTION("""COMPUTED_VALUE"""),"")</f>
        <v/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 t="str">
        <f>IFERROR(__xludf.DUMMYFUNCTION("""COMPUTED_VALUE"""),"")</f>
        <v/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 t="str">
        <f>IFERROR(__xludf.DUMMYFUNCTION("""COMPUTED_VALUE"""),"")</f>
        <v/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 t="str">
        <f>IFERROR(__xludf.DUMMYFUNCTION("""COMPUTED_VALUE"""),"")</f>
        <v/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 t="str">
        <f>IFERROR(__xludf.DUMMYFUNCTION("""COMPUTED_VALUE"""),"")</f>
        <v/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 t="str">
        <f>IFERROR(__xludf.DUMMYFUNCTION("""COMPUTED_VALUE"""),"")</f>
        <v/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 t="str">
        <f>IFERROR(__xludf.DUMMYFUNCTION("""COMPUTED_VALUE"""),"")</f>
        <v/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 t="str">
        <f>IFERROR(__xludf.DUMMYFUNCTION("""COMPUTED_VALUE"""),"")</f>
        <v/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 t="str">
        <f>IFERROR(__xludf.DUMMYFUNCTION("""COMPUTED_VALUE"""),"")</f>
        <v/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 t="str">
        <f>IFERROR(__xludf.DUMMYFUNCTION("""COMPUTED_VALUE"""),"")</f>
        <v/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 t="str">
        <f>IFERROR(__xludf.DUMMYFUNCTION("""COMPUTED_VALUE"""),"")</f>
        <v/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 t="str">
        <f>IFERROR(__xludf.DUMMYFUNCTION("""COMPUTED_VALUE"""),"")</f>
        <v/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 t="str">
        <f>IFERROR(__xludf.DUMMYFUNCTION("""COMPUTED_VALUE"""),"")</f>
        <v/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 t="str">
        <f>IFERROR(__xludf.DUMMYFUNCTION("""COMPUTED_VALUE"""),"")</f>
        <v/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 t="str">
        <f>IFERROR(__xludf.DUMMYFUNCTION("""COMPUTED_VALUE"""),"")</f>
        <v/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 t="str">
        <f>IFERROR(__xludf.DUMMYFUNCTION("""COMPUTED_VALUE"""),"")</f>
        <v/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 t="str">
        <f>IFERROR(__xludf.DUMMYFUNCTION("""COMPUTED_VALUE"""),"")</f>
        <v/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 t="str">
        <f>IFERROR(__xludf.DUMMYFUNCTION("""COMPUTED_VALUE"""),"")</f>
        <v/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 t="str">
        <f>IFERROR(__xludf.DUMMYFUNCTION("""COMPUTED_VALUE"""),"")</f>
        <v/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 t="str">
        <f>IFERROR(__xludf.DUMMYFUNCTION("""COMPUTED_VALUE"""),"")</f>
        <v/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 t="str">
        <f>IFERROR(__xludf.DUMMYFUNCTION("""COMPUTED_VALUE"""),"")</f>
        <v/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 t="str">
        <f>IFERROR(__xludf.DUMMYFUNCTION("""COMPUTED_VALUE"""),"")</f>
        <v/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 t="str">
        <f>IFERROR(__xludf.DUMMYFUNCTION("""COMPUTED_VALUE"""),"")</f>
        <v/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 t="str">
        <f>IFERROR(__xludf.DUMMYFUNCTION("""COMPUTED_VALUE"""),"")</f>
        <v/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 t="str">
        <f>IFERROR(__xludf.DUMMYFUNCTION("""COMPUTED_VALUE"""),"")</f>
        <v/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 t="str">
        <f>IFERROR(__xludf.DUMMYFUNCTION("""COMPUTED_VALUE"""),"")</f>
        <v/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 t="str">
        <f>IFERROR(__xludf.DUMMYFUNCTION("""COMPUTED_VALUE"""),"")</f>
        <v/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 t="str">
        <f>IFERROR(__xludf.DUMMYFUNCTION("""COMPUTED_VALUE"""),"")</f>
        <v/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 t="str">
        <f>IFERROR(__xludf.DUMMYFUNCTION("""COMPUTED_VALUE"""),"")</f>
        <v/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 t="str">
        <f>IFERROR(__xludf.DUMMYFUNCTION("""COMPUTED_VALUE"""),"")</f>
        <v/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 t="str">
        <f>IFERROR(__xludf.DUMMYFUNCTION("""COMPUTED_VALUE"""),"")</f>
        <v/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 t="str">
        <f>IFERROR(__xludf.DUMMYFUNCTION("""COMPUTED_VALUE"""),"")</f>
        <v/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 t="str">
        <f>IFERROR(__xludf.DUMMYFUNCTION("""COMPUTED_VALUE"""),"")</f>
        <v/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 t="str">
        <f>IFERROR(__xludf.DUMMYFUNCTION("""COMPUTED_VALUE"""),"")</f>
        <v/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 t="str">
        <f>IFERROR(__xludf.DUMMYFUNCTION("""COMPUTED_VALUE"""),"")</f>
        <v/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 t="str">
        <f>IFERROR(__xludf.DUMMYFUNCTION("""COMPUTED_VALUE"""),"")</f>
        <v/>
      </c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 t="str">
        <f>IFERROR(__xludf.DUMMYFUNCTION("""COMPUTED_VALUE"""),"")</f>
        <v/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 t="str">
        <f>IFERROR(__xludf.DUMMYFUNCTION("""COMPUTED_VALUE"""),"")</f>
        <v/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 t="str">
        <f>IFERROR(__xludf.DUMMYFUNCTION("""COMPUTED_VALUE"""),"")</f>
        <v/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 t="str">
        <f>IFERROR(__xludf.DUMMYFUNCTION("""COMPUTED_VALUE"""),"")</f>
        <v/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 t="str">
        <f>IFERROR(__xludf.DUMMYFUNCTION("""COMPUTED_VALUE"""),"")</f>
        <v/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 t="str">
        <f>IFERROR(__xludf.DUMMYFUNCTION("""COMPUTED_VALUE"""),"")</f>
        <v/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 t="str">
        <f>IFERROR(__xludf.DUMMYFUNCTION("""COMPUTED_VALUE"""),"")</f>
        <v/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 t="str">
        <f>IFERROR(__xludf.DUMMYFUNCTION("""COMPUTED_VALUE"""),"")</f>
        <v/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 t="str">
        <f>IFERROR(__xludf.DUMMYFUNCTION("""COMPUTED_VALUE"""),"")</f>
        <v/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 t="str">
        <f>IFERROR(__xludf.DUMMYFUNCTION("""COMPUTED_VALUE"""),"")</f>
        <v/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 t="str">
        <f>IFERROR(__xludf.DUMMYFUNCTION("""COMPUTED_VALUE"""),"")</f>
        <v/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 t="str">
        <f>IFERROR(__xludf.DUMMYFUNCTION("""COMPUTED_VALUE"""),"")</f>
        <v/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 t="str">
        <f>IFERROR(__xludf.DUMMYFUNCTION("""COMPUTED_VALUE"""),"")</f>
        <v/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 t="str">
        <f>IFERROR(__xludf.DUMMYFUNCTION("""COMPUTED_VALUE"""),"")</f>
        <v/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 t="str">
        <f>IFERROR(__xludf.DUMMYFUNCTION("""COMPUTED_VALUE"""),"")</f>
        <v/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 t="str">
        <f>IFERROR(__xludf.DUMMYFUNCTION("""COMPUTED_VALUE"""),"")</f>
        <v/>
      </c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 t="str">
        <f>IFERROR(__xludf.DUMMYFUNCTION("""COMPUTED_VALUE"""),"")</f>
        <v/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 t="str">
        <f>IFERROR(__xludf.DUMMYFUNCTION("""COMPUTED_VALUE"""),"")</f>
        <v/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 t="str">
        <f>IFERROR(__xludf.DUMMYFUNCTION("""COMPUTED_VALUE"""),"")</f>
        <v/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 t="str">
        <f>IFERROR(__xludf.DUMMYFUNCTION("""COMPUTED_VALUE"""),"")</f>
        <v/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 t="str">
        <f>IFERROR(__xludf.DUMMYFUNCTION("""COMPUTED_VALUE"""),"")</f>
        <v/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 t="str">
        <f>IFERROR(__xludf.DUMMYFUNCTION("""COMPUTED_VALUE"""),"")</f>
        <v/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 t="str">
        <f>IFERROR(__xludf.DUMMYFUNCTION("""COMPUTED_VALUE"""),"")</f>
        <v/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 t="str">
        <f>IFERROR(__xludf.DUMMYFUNCTION("""COMPUTED_VALUE"""),"")</f>
        <v/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 t="str">
        <f>IFERROR(__xludf.DUMMYFUNCTION("""COMPUTED_VALUE"""),"")</f>
        <v/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 t="str">
        <f>IFERROR(__xludf.DUMMYFUNCTION("""COMPUTED_VALUE"""),"")</f>
        <v/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 t="str">
        <f>IFERROR(__xludf.DUMMYFUNCTION("""COMPUTED_VALUE"""),"")</f>
        <v/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 t="str">
        <f>IFERROR(__xludf.DUMMYFUNCTION("""COMPUTED_VALUE"""),"")</f>
        <v/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 t="str">
        <f>IFERROR(__xludf.DUMMYFUNCTION("""COMPUTED_VALUE"""),"")</f>
        <v/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 t="str">
        <f>IFERROR(__xludf.DUMMYFUNCTION("""COMPUTED_VALUE"""),"")</f>
        <v/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 t="str">
        <f>IFERROR(__xludf.DUMMYFUNCTION("""COMPUTED_VALUE"""),"")</f>
        <v/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 t="str">
        <f>IFERROR(__xludf.DUMMYFUNCTION("""COMPUTED_VALUE"""),"")</f>
        <v/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 t="str">
        <f>IFERROR(__xludf.DUMMYFUNCTION("""COMPUTED_VALUE"""),"")</f>
        <v/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 t="str">
        <f>IFERROR(__xludf.DUMMYFUNCTION("""COMPUTED_VALUE"""),"")</f>
        <v/>
      </c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 t="str">
        <f>IFERROR(__xludf.DUMMYFUNCTION("""COMPUTED_VALUE"""),"")</f>
        <v/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 t="str">
        <f>IFERROR(__xludf.DUMMYFUNCTION("""COMPUTED_VALUE"""),"")</f>
        <v/>
      </c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 t="str">
        <f>IFERROR(__xludf.DUMMYFUNCTION("""COMPUTED_VALUE"""),"")</f>
        <v/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 t="str">
        <f>IFERROR(__xludf.DUMMYFUNCTION("""COMPUTED_VALUE"""),"")</f>
        <v/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 t="str">
        <f>IFERROR(__xludf.DUMMYFUNCTION("""COMPUTED_VALUE"""),"")</f>
        <v/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 t="str">
        <f>IFERROR(__xludf.DUMMYFUNCTION("""COMPUTED_VALUE"""),"")</f>
        <v/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 t="str">
        <f>IFERROR(__xludf.DUMMYFUNCTION("""COMPUTED_VALUE"""),"")</f>
        <v/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 t="str">
        <f>IFERROR(__xludf.DUMMYFUNCTION("""COMPUTED_VALUE"""),"")</f>
        <v/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 t="str">
        <f>IFERROR(__xludf.DUMMYFUNCTION("""COMPUTED_VALUE"""),"")</f>
        <v/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 t="str">
        <f>IFERROR(__xludf.DUMMYFUNCTION("""COMPUTED_VALUE"""),"")</f>
        <v/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 t="str">
        <f>IFERROR(__xludf.DUMMYFUNCTION("""COMPUTED_VALUE"""),"")</f>
        <v/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 t="str">
        <f>IFERROR(__xludf.DUMMYFUNCTION("""COMPUTED_VALUE"""),"")</f>
        <v/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 t="str">
        <f>IFERROR(__xludf.DUMMYFUNCTION("""COMPUTED_VALUE"""),"")</f>
        <v/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 t="str">
        <f>IFERROR(__xludf.DUMMYFUNCTION("""COMPUTED_VALUE"""),"")</f>
        <v/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 t="str">
        <f>IFERROR(__xludf.DUMMYFUNCTION("""COMPUTED_VALUE"""),"")</f>
        <v/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 t="str">
        <f>IFERROR(__xludf.DUMMYFUNCTION("""COMPUTED_VALUE"""),"")</f>
        <v/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 t="str">
        <f>IFERROR(__xludf.DUMMYFUNCTION("""COMPUTED_VALUE"""),"")</f>
        <v/>
      </c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 t="str">
        <f>IFERROR(__xludf.DUMMYFUNCTION("""COMPUTED_VALUE"""),"")</f>
        <v/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 t="str">
        <f>IFERROR(__xludf.DUMMYFUNCTION("""COMPUTED_VALUE"""),"")</f>
        <v/>
      </c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 t="str">
        <f>IFERROR(__xludf.DUMMYFUNCTION("""COMPUTED_VALUE"""),"")</f>
        <v/>
      </c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 t="str">
        <f>IFERROR(__xludf.DUMMYFUNCTION("""COMPUTED_VALUE"""),"")</f>
        <v/>
      </c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 t="str">
        <f>IFERROR(__xludf.DUMMYFUNCTION("""COMPUTED_VALUE"""),"")</f>
        <v/>
      </c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 t="str">
        <f>IFERROR(__xludf.DUMMYFUNCTION("""COMPUTED_VALUE"""),"")</f>
        <v/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 t="str">
        <f>IFERROR(__xludf.DUMMYFUNCTION("""COMPUTED_VALUE"""),"")</f>
        <v/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 t="str">
        <f>IFERROR(__xludf.DUMMYFUNCTION("""COMPUTED_VALUE"""),"")</f>
        <v/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 t="str">
        <f>IFERROR(__xludf.DUMMYFUNCTION("""COMPUTED_VALUE"""),"")</f>
        <v/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 t="str">
        <f>IFERROR(__xludf.DUMMYFUNCTION("""COMPUTED_VALUE"""),"")</f>
        <v/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 t="str">
        <f>IFERROR(__xludf.DUMMYFUNCTION("""COMPUTED_VALUE"""),"")</f>
        <v/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 t="str">
        <f>IFERROR(__xludf.DUMMYFUNCTION("""COMPUTED_VALUE"""),"")</f>
        <v/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 t="str">
        <f>IFERROR(__xludf.DUMMYFUNCTION("""COMPUTED_VALUE"""),"")</f>
        <v/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 t="str">
        <f>IFERROR(__xludf.DUMMYFUNCTION("""COMPUTED_VALUE"""),"")</f>
        <v/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 t="str">
        <f>IFERROR(__xludf.DUMMYFUNCTION("""COMPUTED_VALUE"""),"")</f>
        <v/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 t="str">
        <f>IFERROR(__xludf.DUMMYFUNCTION("""COMPUTED_VALUE"""),"")</f>
        <v/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 t="str">
        <f>IFERROR(__xludf.DUMMYFUNCTION("""COMPUTED_VALUE"""),"")</f>
        <v/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 t="str">
        <f>IFERROR(__xludf.DUMMYFUNCTION("""COMPUTED_VALUE"""),"")</f>
        <v/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 t="str">
        <f>IFERROR(__xludf.DUMMYFUNCTION("""COMPUTED_VALUE"""),"")</f>
        <v/>
      </c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 t="str">
        <f>IFERROR(__xludf.DUMMYFUNCTION("""COMPUTED_VALUE"""),"")</f>
        <v/>
      </c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 t="str">
        <f>IFERROR(__xludf.DUMMYFUNCTION("""COMPUTED_VALUE"""),"")</f>
        <v/>
      </c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 t="str">
        <f>IFERROR(__xludf.DUMMYFUNCTION("""COMPUTED_VALUE"""),"")</f>
        <v/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 t="str">
        <f>IFERROR(__xludf.DUMMYFUNCTION("""COMPUTED_VALUE"""),"")</f>
        <v/>
      </c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 t="str">
        <f>IFERROR(__xludf.DUMMYFUNCTION("""COMPUTED_VALUE"""),"")</f>
        <v/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 t="str">
        <f>IFERROR(__xludf.DUMMYFUNCTION("""COMPUTED_VALUE"""),"")</f>
        <v/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 t="str">
        <f>IFERROR(__xludf.DUMMYFUNCTION("""COMPUTED_VALUE"""),"")</f>
        <v/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 t="str">
        <f>IFERROR(__xludf.DUMMYFUNCTION("""COMPUTED_VALUE"""),"")</f>
        <v/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 t="str">
        <f>IFERROR(__xludf.DUMMYFUNCTION("""COMPUTED_VALUE"""),"")</f>
        <v/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 t="str">
        <f>IFERROR(__xludf.DUMMYFUNCTION("""COMPUTED_VALUE"""),"")</f>
        <v/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 t="str">
        <f>IFERROR(__xludf.DUMMYFUNCTION("""COMPUTED_VALUE"""),"")</f>
        <v/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 t="str">
        <f>IFERROR(__xludf.DUMMYFUNCTION("""COMPUTED_VALUE"""),"")</f>
        <v/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 t="str">
        <f>IFERROR(__xludf.DUMMYFUNCTION("""COMPUTED_VALUE"""),"")</f>
        <v/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 t="str">
        <f>IFERROR(__xludf.DUMMYFUNCTION("""COMPUTED_VALUE"""),"")</f>
        <v/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 t="str">
        <f>IFERROR(__xludf.DUMMYFUNCTION("""COMPUTED_VALUE"""),"")</f>
        <v/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 t="str">
        <f>IFERROR(__xludf.DUMMYFUNCTION("""COMPUTED_VALUE"""),"")</f>
        <v/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 t="str">
        <f>IFERROR(__xludf.DUMMYFUNCTION("""COMPUTED_VALUE"""),"")</f>
        <v/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 t="str">
        <f>IFERROR(__xludf.DUMMYFUNCTION("""COMPUTED_VALUE"""),"")</f>
        <v/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 t="str">
        <f>IFERROR(__xludf.DUMMYFUNCTION("""COMPUTED_VALUE"""),"")</f>
        <v/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 t="str">
        <f>IFERROR(__xludf.DUMMYFUNCTION("""COMPUTED_VALUE"""),"")</f>
        <v/>
      </c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 t="str">
        <f>IFERROR(__xludf.DUMMYFUNCTION("""COMPUTED_VALUE"""),"")</f>
        <v/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 t="str">
        <f>IFERROR(__xludf.DUMMYFUNCTION("""COMPUTED_VALUE"""),"")</f>
        <v/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 t="str">
        <f>IFERROR(__xludf.DUMMYFUNCTION("""COMPUTED_VALUE"""),"")</f>
        <v/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 t="str">
        <f>IFERROR(__xludf.DUMMYFUNCTION("""COMPUTED_VALUE"""),"")</f>
        <v/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 t="str">
        <f>IFERROR(__xludf.DUMMYFUNCTION("""COMPUTED_VALUE"""),"")</f>
        <v/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 t="str">
        <f>IFERROR(__xludf.DUMMYFUNCTION("""COMPUTED_VALUE"""),"")</f>
        <v/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 t="str">
        <f>IFERROR(__xludf.DUMMYFUNCTION("""COMPUTED_VALUE"""),"")</f>
        <v/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 t="str">
        <f>IFERROR(__xludf.DUMMYFUNCTION("""COMPUTED_VALUE"""),"")</f>
        <v/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 t="str">
        <f>IFERROR(__xludf.DUMMYFUNCTION("""COMPUTED_VALUE"""),"")</f>
        <v/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 t="str">
        <f>IFERROR(__xludf.DUMMYFUNCTION("""COMPUTED_VALUE"""),"")</f>
        <v/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 t="str">
        <f>IFERROR(__xludf.DUMMYFUNCTION("""COMPUTED_VALUE"""),"")</f>
        <v/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 t="str">
        <f>IFERROR(__xludf.DUMMYFUNCTION("""COMPUTED_VALUE"""),"")</f>
        <v/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 t="str">
        <f>IFERROR(__xludf.DUMMYFUNCTION("""COMPUTED_VALUE"""),"")</f>
        <v/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 t="str">
        <f>IFERROR(__xludf.DUMMYFUNCTION("""COMPUTED_VALUE"""),"")</f>
        <v/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 t="str">
        <f>IFERROR(__xludf.DUMMYFUNCTION("""COMPUTED_VALUE"""),"")</f>
        <v/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 t="str">
        <f>IFERROR(__xludf.DUMMYFUNCTION("""COMPUTED_VALUE"""),"")</f>
        <v/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 t="str">
        <f>IFERROR(__xludf.DUMMYFUNCTION("""COMPUTED_VALUE"""),"")</f>
        <v/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 t="str">
        <f>IFERROR(__xludf.DUMMYFUNCTION("""COMPUTED_VALUE"""),"")</f>
        <v/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 t="str">
        <f>IFERROR(__xludf.DUMMYFUNCTION("""COMPUTED_VALUE"""),"")</f>
        <v/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 t="str">
        <f>IFERROR(__xludf.DUMMYFUNCTION("""COMPUTED_VALUE"""),"")</f>
        <v/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 t="str">
        <f>IFERROR(__xludf.DUMMYFUNCTION("""COMPUTED_VALUE"""),"")</f>
        <v/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 t="str">
        <f>IFERROR(__xludf.DUMMYFUNCTION("""COMPUTED_VALUE"""),"")</f>
        <v/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 t="str">
        <f>IFERROR(__xludf.DUMMYFUNCTION("""COMPUTED_VALUE"""),"")</f>
        <v/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 t="str">
        <f>IFERROR(__xludf.DUMMYFUNCTION("""COMPUTED_VALUE"""),"")</f>
        <v/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 t="str">
        <f>IFERROR(__xludf.DUMMYFUNCTION("""COMPUTED_VALUE"""),"")</f>
        <v/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 t="str">
        <f>IFERROR(__xludf.DUMMYFUNCTION("""COMPUTED_VALUE"""),"")</f>
        <v/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 t="str">
        <f>IFERROR(__xludf.DUMMYFUNCTION("""COMPUTED_VALUE"""),"")</f>
        <v/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 t="str">
        <f>IFERROR(__xludf.DUMMYFUNCTION("""COMPUTED_VALUE"""),"")</f>
        <v/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 t="str">
        <f>IFERROR(__xludf.DUMMYFUNCTION("""COMPUTED_VALUE"""),"")</f>
        <v/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 t="str">
        <f>IFERROR(__xludf.DUMMYFUNCTION("""COMPUTED_VALUE"""),"")</f>
        <v/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 t="str">
        <f>IFERROR(__xludf.DUMMYFUNCTION("""COMPUTED_VALUE"""),"")</f>
        <v/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 t="str">
        <f>IFERROR(__xludf.DUMMYFUNCTION("""COMPUTED_VALUE"""),"")</f>
        <v/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 t="str">
        <f>IFERROR(__xludf.DUMMYFUNCTION("""COMPUTED_VALUE"""),"")</f>
        <v/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 t="str">
        <f>IFERROR(__xludf.DUMMYFUNCTION("""COMPUTED_VALUE"""),"")</f>
        <v/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 t="str">
        <f>IFERROR(__xludf.DUMMYFUNCTION("""COMPUTED_VALUE"""),"")</f>
        <v/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 t="str">
        <f>IFERROR(__xludf.DUMMYFUNCTION("""COMPUTED_VALUE"""),"")</f>
        <v/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 t="str">
        <f>IFERROR(__xludf.DUMMYFUNCTION("""COMPUTED_VALUE"""),"")</f>
        <v/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 t="str">
        <f>IFERROR(__xludf.DUMMYFUNCTION("""COMPUTED_VALUE"""),"")</f>
        <v/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 t="str">
        <f>IFERROR(__xludf.DUMMYFUNCTION("""COMPUTED_VALUE"""),"")</f>
        <v/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 t="str">
        <f>IFERROR(__xludf.DUMMYFUNCTION("""COMPUTED_VALUE"""),"")</f>
        <v/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 t="str">
        <f>IFERROR(__xludf.DUMMYFUNCTION("""COMPUTED_VALUE"""),"")</f>
        <v/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 t="str">
        <f>IFERROR(__xludf.DUMMYFUNCTION("""COMPUTED_VALUE"""),"")</f>
        <v/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 t="str">
        <f>IFERROR(__xludf.DUMMYFUNCTION("""COMPUTED_VALUE"""),"")</f>
        <v/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 t="str">
        <f>IFERROR(__xludf.DUMMYFUNCTION("""COMPUTED_VALUE"""),"")</f>
        <v/>
      </c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 t="str">
        <f>IFERROR(__xludf.DUMMYFUNCTION("""COMPUTED_VALUE"""),"")</f>
        <v/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 t="str">
        <f>IFERROR(__xludf.DUMMYFUNCTION("""COMPUTED_VALUE"""),"")</f>
        <v/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 t="str">
        <f>IFERROR(__xludf.DUMMYFUNCTION("""COMPUTED_VALUE"""),"")</f>
        <v/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 t="str">
        <f>IFERROR(__xludf.DUMMYFUNCTION("""COMPUTED_VALUE"""),"")</f>
        <v/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 t="str">
        <f>IFERROR(__xludf.DUMMYFUNCTION("""COMPUTED_VALUE"""),"")</f>
        <v/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 t="str">
        <f>IFERROR(__xludf.DUMMYFUNCTION("""COMPUTED_VALUE"""),"")</f>
        <v/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 t="str">
        <f>IFERROR(__xludf.DUMMYFUNCTION("""COMPUTED_VALUE"""),"")</f>
        <v/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 t="str">
        <f>IFERROR(__xludf.DUMMYFUNCTION("""COMPUTED_VALUE"""),"")</f>
        <v/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 t="str">
        <f>IFERROR(__xludf.DUMMYFUNCTION("""COMPUTED_VALUE"""),"")</f>
        <v/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 t="str">
        <f>IFERROR(__xludf.DUMMYFUNCTION("""COMPUTED_VALUE"""),"")</f>
        <v/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 t="str">
        <f>IFERROR(__xludf.DUMMYFUNCTION("""COMPUTED_VALUE"""),"")</f>
        <v/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 t="str">
        <f>IFERROR(__xludf.DUMMYFUNCTION("""COMPUTED_VALUE"""),"")</f>
        <v/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 t="str">
        <f>IFERROR(__xludf.DUMMYFUNCTION("""COMPUTED_VALUE"""),"")</f>
        <v/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 t="str">
        <f>IFERROR(__xludf.DUMMYFUNCTION("""COMPUTED_VALUE"""),"")</f>
        <v/>
      </c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 t="str">
        <f>IFERROR(__xludf.DUMMYFUNCTION("""COMPUTED_VALUE"""),"")</f>
        <v/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 t="str">
        <f>IFERROR(__xludf.DUMMYFUNCTION("""COMPUTED_VALUE"""),"")</f>
        <v/>
      </c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 t="str">
        <f>IFERROR(__xludf.DUMMYFUNCTION("""COMPUTED_VALUE"""),"")</f>
        <v/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 t="str">
        <f>IFERROR(__xludf.DUMMYFUNCTION("""COMPUTED_VALUE"""),"")</f>
        <v/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 t="str">
        <f>IFERROR(__xludf.DUMMYFUNCTION("""COMPUTED_VALUE"""),"")</f>
        <v/>
      </c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 t="str">
        <f>IFERROR(__xludf.DUMMYFUNCTION("""COMPUTED_VALUE"""),"")</f>
        <v/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 t="str">
        <f>IFERROR(__xludf.DUMMYFUNCTION("""COMPUTED_VALUE"""),"")</f>
        <v/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 t="str">
        <f>IFERROR(__xludf.DUMMYFUNCTION("""COMPUTED_VALUE"""),"")</f>
        <v/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 t="str">
        <f>IFERROR(__xludf.DUMMYFUNCTION("""COMPUTED_VALUE"""),"")</f>
        <v/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 t="str">
        <f>IFERROR(__xludf.DUMMYFUNCTION("""COMPUTED_VALUE"""),"")</f>
        <v/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 t="str">
        <f>IFERROR(__xludf.DUMMYFUNCTION("""COMPUTED_VALUE"""),"")</f>
        <v/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 t="str">
        <f>IFERROR(__xludf.DUMMYFUNCTION("""COMPUTED_VALUE"""),"")</f>
        <v/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 t="str">
        <f>IFERROR(__xludf.DUMMYFUNCTION("""COMPUTED_VALUE"""),"")</f>
        <v/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 t="str">
        <f>IFERROR(__xludf.DUMMYFUNCTION("""COMPUTED_VALUE"""),"")</f>
        <v/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 t="str">
        <f>IFERROR(__xludf.DUMMYFUNCTION("""COMPUTED_VALUE"""),"")</f>
        <v/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 t="str">
        <f>IFERROR(__xludf.DUMMYFUNCTION("""COMPUTED_VALUE"""),"")</f>
        <v/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 t="str">
        <f>IFERROR(__xludf.DUMMYFUNCTION("""COMPUTED_VALUE"""),"")</f>
        <v/>
      </c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 t="str">
        <f>IFERROR(__xludf.DUMMYFUNCTION("""COMPUTED_VALUE"""),"")</f>
        <v/>
      </c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 t="str">
        <f>IFERROR(__xludf.DUMMYFUNCTION("""COMPUTED_VALUE"""),"")</f>
        <v/>
      </c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 t="str">
        <f>IFERROR(__xludf.DUMMYFUNCTION("""COMPUTED_VALUE"""),"")</f>
        <v/>
      </c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 t="str">
        <f>IFERROR(__xludf.DUMMYFUNCTION("""COMPUTED_VALUE"""),"")</f>
        <v/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 t="str">
        <f>IFERROR(__xludf.DUMMYFUNCTION("""COMPUTED_VALUE"""),"")</f>
        <v/>
      </c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 t="str">
        <f>IFERROR(__xludf.DUMMYFUNCTION("""COMPUTED_VALUE"""),"")</f>
        <v/>
      </c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 t="str">
        <f>IFERROR(__xludf.DUMMYFUNCTION("""COMPUTED_VALUE"""),"")</f>
        <v/>
      </c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 t="str">
        <f>IFERROR(__xludf.DUMMYFUNCTION("""COMPUTED_VALUE"""),"")</f>
        <v/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 t="str">
        <f>IFERROR(__xludf.DUMMYFUNCTION("""COMPUTED_VALUE"""),"")</f>
        <v/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 t="str">
        <f>IFERROR(__xludf.DUMMYFUNCTION("""COMPUTED_VALUE"""),"")</f>
        <v/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 t="str">
        <f>IFERROR(__xludf.DUMMYFUNCTION("""COMPUTED_VALUE"""),"")</f>
        <v/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 t="str">
        <f>IFERROR(__xludf.DUMMYFUNCTION("""COMPUTED_VALUE"""),"")</f>
        <v/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 t="str">
        <f>IFERROR(__xludf.DUMMYFUNCTION("""COMPUTED_VALUE"""),"")</f>
        <v/>
      </c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 t="str">
        <f>IFERROR(__xludf.DUMMYFUNCTION("""COMPUTED_VALUE"""),"")</f>
        <v/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 t="str">
        <f>IFERROR(__xludf.DUMMYFUNCTION("""COMPUTED_VALUE"""),"")</f>
        <v/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 t="str">
        <f>IFERROR(__xludf.DUMMYFUNCTION("""COMPUTED_VALUE"""),"")</f>
        <v/>
      </c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 t="str">
        <f>IFERROR(__xludf.DUMMYFUNCTION("""COMPUTED_VALUE"""),"")</f>
        <v/>
      </c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 t="str">
        <f>IFERROR(__xludf.DUMMYFUNCTION("""COMPUTED_VALUE"""),"")</f>
        <v/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 t="str">
        <f>IFERROR(__xludf.DUMMYFUNCTION("""COMPUTED_VALUE"""),"")</f>
        <v/>
      </c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 t="str">
        <f>IFERROR(__xludf.DUMMYFUNCTION("""COMPUTED_VALUE"""),"")</f>
        <v/>
      </c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 t="str">
        <f>IFERROR(__xludf.DUMMYFUNCTION("""COMPUTED_VALUE"""),"")</f>
        <v/>
      </c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 t="str">
        <f>IFERROR(__xludf.DUMMYFUNCTION("""COMPUTED_VALUE"""),"")</f>
        <v/>
      </c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 t="str">
        <f>IFERROR(__xludf.DUMMYFUNCTION("""COMPUTED_VALUE"""),"")</f>
        <v/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 t="str">
        <f>IFERROR(__xludf.DUMMYFUNCTION("""COMPUTED_VALUE"""),"")</f>
        <v/>
      </c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 t="str">
        <f>IFERROR(__xludf.DUMMYFUNCTION("""COMPUTED_VALUE"""),"")</f>
        <v/>
      </c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 t="str">
        <f>IFERROR(__xludf.DUMMYFUNCTION("""COMPUTED_VALUE"""),"")</f>
        <v/>
      </c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 t="str">
        <f>IFERROR(__xludf.DUMMYFUNCTION("""COMPUTED_VALUE"""),"")</f>
        <v/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 t="str">
        <f>IFERROR(__xludf.DUMMYFUNCTION("""COMPUTED_VALUE"""),"")</f>
        <v/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 t="str">
        <f>IFERROR(__xludf.DUMMYFUNCTION("""COMPUTED_VALUE"""),"")</f>
        <v/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 t="str">
        <f>IFERROR(__xludf.DUMMYFUNCTION("""COMPUTED_VALUE"""),"")</f>
        <v/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 t="str">
        <f>IFERROR(__xludf.DUMMYFUNCTION("""COMPUTED_VALUE"""),"")</f>
        <v/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 t="str">
        <f>IFERROR(__xludf.DUMMYFUNCTION("""COMPUTED_VALUE"""),"")</f>
        <v/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 t="str">
        <f>IFERROR(__xludf.DUMMYFUNCTION("""COMPUTED_VALUE"""),"")</f>
        <v/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 t="str">
        <f>IFERROR(__xludf.DUMMYFUNCTION("""COMPUTED_VALUE"""),"")</f>
        <v/>
      </c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 t="str">
        <f>IFERROR(__xludf.DUMMYFUNCTION("""COMPUTED_VALUE"""),"")</f>
        <v/>
      </c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 t="str">
        <f>IFERROR(__xludf.DUMMYFUNCTION("""COMPUTED_VALUE"""),"")</f>
        <v/>
      </c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 t="str">
        <f>IFERROR(__xludf.DUMMYFUNCTION("""COMPUTED_VALUE"""),"")</f>
        <v/>
      </c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 t="str">
        <f>IFERROR(__xludf.DUMMYFUNCTION("""COMPUTED_VALUE"""),"")</f>
        <v/>
      </c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 t="str">
        <f>IFERROR(__xludf.DUMMYFUNCTION("""COMPUTED_VALUE"""),"")</f>
        <v/>
      </c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 t="str">
        <f>IFERROR(__xludf.DUMMYFUNCTION("""COMPUTED_VALUE"""),"")</f>
        <v/>
      </c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 t="str">
        <f>IFERROR(__xludf.DUMMYFUNCTION("""COMPUTED_VALUE"""),"")</f>
        <v/>
      </c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 t="str">
        <f>IFERROR(__xludf.DUMMYFUNCTION("""COMPUTED_VALUE"""),"")</f>
        <v/>
      </c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 t="str">
        <f>IFERROR(__xludf.DUMMYFUNCTION("""COMPUTED_VALUE"""),"")</f>
        <v/>
      </c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 t="str">
        <f>IFERROR(__xludf.DUMMYFUNCTION("""COMPUTED_VALUE"""),"")</f>
        <v/>
      </c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 t="str">
        <f>IFERROR(__xludf.DUMMYFUNCTION("""COMPUTED_VALUE"""),"")</f>
        <v/>
      </c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 t="str">
        <f>IFERROR(__xludf.DUMMYFUNCTION("""COMPUTED_VALUE"""),"")</f>
        <v/>
      </c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 t="str">
        <f>IFERROR(__xludf.DUMMYFUNCTION("""COMPUTED_VALUE"""),"")</f>
        <v/>
      </c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 t="str">
        <f>IFERROR(__xludf.DUMMYFUNCTION("""COMPUTED_VALUE"""),"")</f>
        <v/>
      </c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 t="str">
        <f>IFERROR(__xludf.DUMMYFUNCTION("""COMPUTED_VALUE"""),"")</f>
        <v/>
      </c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 t="str">
        <f>IFERROR(__xludf.DUMMYFUNCTION("""COMPUTED_VALUE"""),"")</f>
        <v/>
      </c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 t="str">
        <f>IFERROR(__xludf.DUMMYFUNCTION("""COMPUTED_VALUE"""),"")</f>
        <v/>
      </c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 t="str">
        <f>IFERROR(__xludf.DUMMYFUNCTION("""COMPUTED_VALUE"""),"")</f>
        <v/>
      </c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 t="str">
        <f>IFERROR(__xludf.DUMMYFUNCTION("""COMPUTED_VALUE"""),"")</f>
        <v/>
      </c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 t="str">
        <f>IFERROR(__xludf.DUMMYFUNCTION("""COMPUTED_VALUE"""),"")</f>
        <v/>
      </c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 t="str">
        <f>IFERROR(__xludf.DUMMYFUNCTION("""COMPUTED_VALUE"""),"")</f>
        <v/>
      </c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 t="str">
        <f>IFERROR(__xludf.DUMMYFUNCTION("""COMPUTED_VALUE"""),"")</f>
        <v/>
      </c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 t="str">
        <f>IFERROR(__xludf.DUMMYFUNCTION("""COMPUTED_VALUE"""),"")</f>
        <v/>
      </c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 t="str">
        <f>IFERROR(__xludf.DUMMYFUNCTION("""COMPUTED_VALUE"""),"")</f>
        <v/>
      </c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 t="str">
        <f>IFERROR(__xludf.DUMMYFUNCTION("""COMPUTED_VALUE"""),"")</f>
        <v/>
      </c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 t="str">
        <f>IFERROR(__xludf.DUMMYFUNCTION("""COMPUTED_VALUE"""),"")</f>
        <v/>
      </c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 t="str">
        <f>IFERROR(__xludf.DUMMYFUNCTION("""COMPUTED_VALUE"""),"")</f>
        <v/>
      </c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 t="str">
        <f>IFERROR(__xludf.DUMMYFUNCTION("""COMPUTED_VALUE"""),"")</f>
        <v/>
      </c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 t="str">
        <f>IFERROR(__xludf.DUMMYFUNCTION("""COMPUTED_VALUE"""),"")</f>
        <v/>
      </c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 t="str">
        <f>IFERROR(__xludf.DUMMYFUNCTION("""COMPUTED_VALUE"""),"")</f>
        <v/>
      </c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 t="str">
        <f>IFERROR(__xludf.DUMMYFUNCTION("""COMPUTED_VALUE"""),"")</f>
        <v/>
      </c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 t="str">
        <f>IFERROR(__xludf.DUMMYFUNCTION("""COMPUTED_VALUE"""),"")</f>
        <v/>
      </c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 t="str">
        <f>IFERROR(__xludf.DUMMYFUNCTION("""COMPUTED_VALUE"""),"")</f>
        <v/>
      </c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 t="str">
        <f>IFERROR(__xludf.DUMMYFUNCTION("""COMPUTED_VALUE"""),"")</f>
        <v/>
      </c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 t="str">
        <f>IFERROR(__xludf.DUMMYFUNCTION("""COMPUTED_VALUE"""),"")</f>
        <v/>
      </c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 t="str">
        <f>IFERROR(__xludf.DUMMYFUNCTION("""COMPUTED_VALUE"""),"")</f>
        <v/>
      </c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 t="str">
        <f>IFERROR(__xludf.DUMMYFUNCTION("""COMPUTED_VALUE"""),"")</f>
        <v/>
      </c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 t="str">
        <f>IFERROR(__xludf.DUMMYFUNCTION("""COMPUTED_VALUE"""),"")</f>
        <v/>
      </c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 t="str">
        <f>IFERROR(__xludf.DUMMYFUNCTION("""COMPUTED_VALUE"""),"")</f>
        <v/>
      </c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 t="str">
        <f>IFERROR(__xludf.DUMMYFUNCTION("""COMPUTED_VALUE"""),"")</f>
        <v/>
      </c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 t="str">
        <f>IFERROR(__xludf.DUMMYFUNCTION("""COMPUTED_VALUE"""),"")</f>
        <v/>
      </c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 t="str">
        <f>IFERROR(__xludf.DUMMYFUNCTION("""COMPUTED_VALUE"""),"")</f>
        <v/>
      </c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 t="str">
        <f>IFERROR(__xludf.DUMMYFUNCTION("""COMPUTED_VALUE"""),"")</f>
        <v/>
      </c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 t="str">
        <f>IFERROR(__xludf.DUMMYFUNCTION("""COMPUTED_VALUE"""),"")</f>
        <v/>
      </c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 t="str">
        <f>IFERROR(__xludf.DUMMYFUNCTION("""COMPUTED_VALUE"""),"")</f>
        <v/>
      </c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 t="str">
        <f>IFERROR(__xludf.DUMMYFUNCTION("""COMPUTED_VALUE"""),"")</f>
        <v/>
      </c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 t="str">
        <f>IFERROR(__xludf.DUMMYFUNCTION("""COMPUTED_VALUE"""),"")</f>
        <v/>
      </c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 t="str">
        <f>IFERROR(__xludf.DUMMYFUNCTION("""COMPUTED_VALUE"""),"")</f>
        <v/>
      </c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 t="str">
        <f>IFERROR(__xludf.DUMMYFUNCTION("""COMPUTED_VALUE"""),"")</f>
        <v/>
      </c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 t="str">
        <f>IFERROR(__xludf.DUMMYFUNCTION("""COMPUTED_VALUE"""),"")</f>
        <v/>
      </c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 t="str">
        <f>IFERROR(__xludf.DUMMYFUNCTION("""COMPUTED_VALUE"""),"")</f>
        <v/>
      </c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 t="str">
        <f>IFERROR(__xludf.DUMMYFUNCTION("""COMPUTED_VALUE"""),"")</f>
        <v/>
      </c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 t="str">
        <f>IFERROR(__xludf.DUMMYFUNCTION("""COMPUTED_VALUE"""),"")</f>
        <v/>
      </c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 t="str">
        <f>IFERROR(__xludf.DUMMYFUNCTION("""COMPUTED_VALUE"""),"")</f>
        <v/>
      </c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 t="str">
        <f>IFERROR(__xludf.DUMMYFUNCTION("""COMPUTED_VALUE"""),"")</f>
        <v/>
      </c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 t="str">
        <f>IFERROR(__xludf.DUMMYFUNCTION("""COMPUTED_VALUE"""),"")</f>
        <v/>
      </c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 t="str">
        <f>IFERROR(__xludf.DUMMYFUNCTION("""COMPUTED_VALUE"""),"")</f>
        <v/>
      </c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 t="str">
        <f>IFERROR(__xludf.DUMMYFUNCTION("""COMPUTED_VALUE"""),"")</f>
        <v/>
      </c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 t="str">
        <f>IFERROR(__xludf.DUMMYFUNCTION("""COMPUTED_VALUE"""),"")</f>
        <v/>
      </c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 t="str">
        <f>IFERROR(__xludf.DUMMYFUNCTION("""COMPUTED_VALUE"""),"")</f>
        <v/>
      </c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 t="str">
        <f>IFERROR(__xludf.DUMMYFUNCTION("""COMPUTED_VALUE"""),"")</f>
        <v/>
      </c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 t="str">
        <f>IFERROR(__xludf.DUMMYFUNCTION("""COMPUTED_VALUE"""),"")</f>
        <v/>
      </c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 t="str">
        <f>IFERROR(__xludf.DUMMYFUNCTION("""COMPUTED_VALUE"""),"")</f>
        <v/>
      </c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 t="str">
        <f>IFERROR(__xludf.DUMMYFUNCTION("""COMPUTED_VALUE"""),"")</f>
        <v/>
      </c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 t="str">
        <f>IFERROR(__xludf.DUMMYFUNCTION("""COMPUTED_VALUE"""),"")</f>
        <v/>
      </c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 t="str">
        <f>IFERROR(__xludf.DUMMYFUNCTION("""COMPUTED_VALUE"""),"")</f>
        <v/>
      </c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 t="str">
        <f>IFERROR(__xludf.DUMMYFUNCTION("""COMPUTED_VALUE"""),"")</f>
        <v/>
      </c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 t="str">
        <f>IFERROR(__xludf.DUMMYFUNCTION("""COMPUTED_VALUE"""),"")</f>
        <v/>
      </c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 t="str">
        <f>IFERROR(__xludf.DUMMYFUNCTION("""COMPUTED_VALUE"""),"")</f>
        <v/>
      </c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 t="str">
        <f>IFERROR(__xludf.DUMMYFUNCTION("""COMPUTED_VALUE"""),"")</f>
        <v/>
      </c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 t="str">
        <f>IFERROR(__xludf.DUMMYFUNCTION("""COMPUTED_VALUE"""),"")</f>
        <v/>
      </c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 t="str">
        <f>IFERROR(__xludf.DUMMYFUNCTION("""COMPUTED_VALUE"""),"")</f>
        <v/>
      </c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 t="str">
        <f>IFERROR(__xludf.DUMMYFUNCTION("""COMPUTED_VALUE"""),"")</f>
        <v/>
      </c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 t="str">
        <f>IFERROR(__xludf.DUMMYFUNCTION("""COMPUTED_VALUE"""),"")</f>
        <v/>
      </c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 t="str">
        <f>IFERROR(__xludf.DUMMYFUNCTION("""COMPUTED_VALUE"""),"")</f>
        <v/>
      </c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 t="str">
        <f>IFERROR(__xludf.DUMMYFUNCTION("""COMPUTED_VALUE"""),"")</f>
        <v/>
      </c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 t="str">
        <f>IFERROR(__xludf.DUMMYFUNCTION("""COMPUTED_VALUE"""),"")</f>
        <v/>
      </c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 t="str">
        <f>IFERROR(__xludf.DUMMYFUNCTION("""COMPUTED_VALUE"""),"")</f>
        <v/>
      </c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 t="str">
        <f>IFERROR(__xludf.DUMMYFUNCTION("""COMPUTED_VALUE"""),"")</f>
        <v/>
      </c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 t="str">
        <f>IFERROR(__xludf.DUMMYFUNCTION("""COMPUTED_VALUE"""),"")</f>
        <v/>
      </c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 t="str">
        <f>IFERROR(__xludf.DUMMYFUNCTION("""COMPUTED_VALUE"""),"")</f>
        <v/>
      </c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 t="str">
        <f>IFERROR(__xludf.DUMMYFUNCTION("""COMPUTED_VALUE"""),"")</f>
        <v/>
      </c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 t="str">
        <f>IFERROR(__xludf.DUMMYFUNCTION("""COMPUTED_VALUE"""),"")</f>
        <v/>
      </c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 t="str">
        <f>IFERROR(__xludf.DUMMYFUNCTION("""COMPUTED_VALUE"""),"")</f>
        <v/>
      </c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 t="str">
        <f>IFERROR(__xludf.DUMMYFUNCTION("""COMPUTED_VALUE"""),"")</f>
        <v/>
      </c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 t="str">
        <f>IFERROR(__xludf.DUMMYFUNCTION("""COMPUTED_VALUE"""),"")</f>
        <v/>
      </c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 t="str">
        <f>IFERROR(__xludf.DUMMYFUNCTION("""COMPUTED_VALUE"""),"")</f>
        <v/>
      </c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 t="str">
        <f>IFERROR(__xludf.DUMMYFUNCTION("""COMPUTED_VALUE"""),"")</f>
        <v/>
      </c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 t="str">
        <f>IFERROR(__xludf.DUMMYFUNCTION("""COMPUTED_VALUE"""),"")</f>
        <v/>
      </c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 t="str">
        <f>IFERROR(__xludf.DUMMYFUNCTION("""COMPUTED_VALUE"""),"")</f>
        <v/>
      </c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 t="str">
        <f>IFERROR(__xludf.DUMMYFUNCTION("""COMPUTED_VALUE"""),"")</f>
        <v/>
      </c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 t="str">
        <f>IFERROR(__xludf.DUMMYFUNCTION("""COMPUTED_VALUE"""),"")</f>
        <v/>
      </c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 t="str">
        <f>IFERROR(__xludf.DUMMYFUNCTION("""COMPUTED_VALUE"""),"")</f>
        <v/>
      </c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 t="str">
        <f>IFERROR(__xludf.DUMMYFUNCTION("""COMPUTED_VALUE"""),"")</f>
        <v/>
      </c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 t="str">
        <f>IFERROR(__xludf.DUMMYFUNCTION("""COMPUTED_VALUE"""),"")</f>
        <v/>
      </c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 t="str">
        <f>IFERROR(__xludf.DUMMYFUNCTION("""COMPUTED_VALUE"""),"")</f>
        <v/>
      </c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 t="str">
        <f>IFERROR(__xludf.DUMMYFUNCTION("""COMPUTED_VALUE"""),"")</f>
        <v/>
      </c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 t="str">
        <f>IFERROR(__xludf.DUMMYFUNCTION("""COMPUTED_VALUE"""),"")</f>
        <v/>
      </c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 t="str">
        <f>IFERROR(__xludf.DUMMYFUNCTION("""COMPUTED_VALUE"""),"")</f>
        <v/>
      </c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 t="str">
        <f>IFERROR(__xludf.DUMMYFUNCTION("""COMPUTED_VALUE"""),"")</f>
        <v/>
      </c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 t="str">
        <f>IFERROR(__xludf.DUMMYFUNCTION("""COMPUTED_VALUE"""),"")</f>
        <v/>
      </c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 t="str">
        <f>IFERROR(__xludf.DUMMYFUNCTION("""COMPUTED_VALUE"""),"")</f>
        <v/>
      </c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 t="str">
        <f>IFERROR(__xludf.DUMMYFUNCTION("""COMPUTED_VALUE"""),"")</f>
        <v/>
      </c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 t="str">
        <f>IFERROR(__xludf.DUMMYFUNCTION("""COMPUTED_VALUE"""),"")</f>
        <v/>
      </c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 t="str">
        <f>IFERROR(__xludf.DUMMYFUNCTION("""COMPUTED_VALUE"""),"")</f>
        <v/>
      </c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 t="str">
        <f>IFERROR(__xludf.DUMMYFUNCTION("""COMPUTED_VALUE"""),"")</f>
        <v/>
      </c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 t="str">
        <f>IFERROR(__xludf.DUMMYFUNCTION("""COMPUTED_VALUE"""),"")</f>
        <v/>
      </c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 t="str">
        <f>IFERROR(__xludf.DUMMYFUNCTION("""COMPUTED_VALUE"""),"")</f>
        <v/>
      </c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 t="str">
        <f>IFERROR(__xludf.DUMMYFUNCTION("""COMPUTED_VALUE"""),"")</f>
        <v/>
      </c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 t="str">
        <f>IFERROR(__xludf.DUMMYFUNCTION("""COMPUTED_VALUE"""),"")</f>
        <v/>
      </c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 t="str">
        <f>IFERROR(__xludf.DUMMYFUNCTION("""COMPUTED_VALUE"""),"")</f>
        <v/>
      </c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 t="str">
        <f>IFERROR(__xludf.DUMMYFUNCTION("""COMPUTED_VALUE"""),"")</f>
        <v/>
      </c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 t="str">
        <f>IFERROR(__xludf.DUMMYFUNCTION("""COMPUTED_VALUE"""),"")</f>
        <v/>
      </c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 t="str">
        <f>IFERROR(__xludf.DUMMYFUNCTION("""COMPUTED_VALUE"""),"")</f>
        <v/>
      </c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 t="str">
        <f>IFERROR(__xludf.DUMMYFUNCTION("""COMPUTED_VALUE"""),"")</f>
        <v/>
      </c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 t="str">
        <f>IFERROR(__xludf.DUMMYFUNCTION("""COMPUTED_VALUE"""),"")</f>
        <v/>
      </c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 t="str">
        <f>IFERROR(__xludf.DUMMYFUNCTION("""COMPUTED_VALUE"""),"")</f>
        <v/>
      </c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 t="str">
        <f>IFERROR(__xludf.DUMMYFUNCTION("""COMPUTED_VALUE"""),"")</f>
        <v/>
      </c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 t="str">
        <f>IFERROR(__xludf.DUMMYFUNCTION("""COMPUTED_VALUE"""),"")</f>
        <v/>
      </c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 t="str">
        <f>IFERROR(__xludf.DUMMYFUNCTION("""COMPUTED_VALUE"""),"")</f>
        <v/>
      </c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 t="str">
        <f>IFERROR(__xludf.DUMMYFUNCTION("""COMPUTED_VALUE"""),"")</f>
        <v/>
      </c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 t="str">
        <f>IFERROR(__xludf.DUMMYFUNCTION("""COMPUTED_VALUE"""),"")</f>
        <v/>
      </c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 t="str">
        <f>IFERROR(__xludf.DUMMYFUNCTION("""COMPUTED_VALUE"""),"")</f>
        <v/>
      </c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 t="str">
        <f>IFERROR(__xludf.DUMMYFUNCTION("""COMPUTED_VALUE"""),"")</f>
        <v/>
      </c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 t="str">
        <f>IFERROR(__xludf.DUMMYFUNCTION("""COMPUTED_VALUE"""),"")</f>
        <v/>
      </c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 t="str">
        <f>IFERROR(__xludf.DUMMYFUNCTION("""COMPUTED_VALUE"""),"")</f>
        <v/>
      </c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 t="str">
        <f>IFERROR(__xludf.DUMMYFUNCTION("""COMPUTED_VALUE"""),"")</f>
        <v/>
      </c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 t="str">
        <f>IFERROR(__xludf.DUMMYFUNCTION("""COMPUTED_VALUE"""),"")</f>
        <v/>
      </c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 t="str">
        <f>IFERROR(__xludf.DUMMYFUNCTION("""COMPUTED_VALUE"""),"")</f>
        <v/>
      </c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 t="str">
        <f>IFERROR(__xludf.DUMMYFUNCTION("""COMPUTED_VALUE"""),"")</f>
        <v/>
      </c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 t="str">
        <f>IFERROR(__xludf.DUMMYFUNCTION("""COMPUTED_VALUE"""),"")</f>
        <v/>
      </c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 t="str">
        <f>IFERROR(__xludf.DUMMYFUNCTION("""COMPUTED_VALUE"""),"")</f>
        <v/>
      </c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 t="str">
        <f>IFERROR(__xludf.DUMMYFUNCTION("""COMPUTED_VALUE"""),"")</f>
        <v/>
      </c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 t="str">
        <f>IFERROR(__xludf.DUMMYFUNCTION("""COMPUTED_VALUE"""),"")</f>
        <v/>
      </c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 t="str">
        <f>IFERROR(__xludf.DUMMYFUNCTION("""COMPUTED_VALUE"""),"")</f>
        <v/>
      </c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 t="str">
        <f>IFERROR(__xludf.DUMMYFUNCTION("""COMPUTED_VALUE"""),"")</f>
        <v/>
      </c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 t="str">
        <f>IFERROR(__xludf.DUMMYFUNCTION("""COMPUTED_VALUE"""),"")</f>
        <v/>
      </c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 t="str">
        <f>IFERROR(__xludf.DUMMYFUNCTION("""COMPUTED_VALUE"""),"")</f>
        <v/>
      </c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 t="str">
        <f>IFERROR(__xludf.DUMMYFUNCTION("""COMPUTED_VALUE"""),"")</f>
        <v/>
      </c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 t="str">
        <f>IFERROR(__xludf.DUMMYFUNCTION("""COMPUTED_VALUE"""),"")</f>
        <v/>
      </c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 t="str">
        <f>IFERROR(__xludf.DUMMYFUNCTION("""COMPUTED_VALUE"""),"")</f>
        <v/>
      </c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 t="str">
        <f>IFERROR(__xludf.DUMMYFUNCTION("""COMPUTED_VALUE"""),"")</f>
        <v/>
      </c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 t="str">
        <f>IFERROR(__xludf.DUMMYFUNCTION("""COMPUTED_VALUE"""),"")</f>
        <v/>
      </c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 t="str">
        <f>IFERROR(__xludf.DUMMYFUNCTION("""COMPUTED_VALUE"""),"")</f>
        <v/>
      </c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 t="str">
        <f>IFERROR(__xludf.DUMMYFUNCTION("""COMPUTED_VALUE"""),"")</f>
        <v/>
      </c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 t="str">
        <f>IFERROR(__xludf.DUMMYFUNCTION("""COMPUTED_VALUE"""),"")</f>
        <v/>
      </c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 t="str">
        <f>IFERROR(__xludf.DUMMYFUNCTION("""COMPUTED_VALUE"""),"")</f>
        <v/>
      </c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 t="str">
        <f>IFERROR(__xludf.DUMMYFUNCTION("""COMPUTED_VALUE"""),"")</f>
        <v/>
      </c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 t="str">
        <f>IFERROR(__xludf.DUMMYFUNCTION("""COMPUTED_VALUE"""),"")</f>
        <v/>
      </c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 t="str">
        <f>IFERROR(__xludf.DUMMYFUNCTION("""COMPUTED_VALUE"""),"")</f>
        <v/>
      </c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 t="str">
        <f>IFERROR(__xludf.DUMMYFUNCTION("""COMPUTED_VALUE"""),"")</f>
        <v/>
      </c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 t="str">
        <f>IFERROR(__xludf.DUMMYFUNCTION("""COMPUTED_VALUE"""),"")</f>
        <v/>
      </c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 t="str">
        <f>IFERROR(__xludf.DUMMYFUNCTION("""COMPUTED_VALUE"""),"")</f>
        <v/>
      </c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 t="str">
        <f>IFERROR(__xludf.DUMMYFUNCTION("""COMPUTED_VALUE"""),"")</f>
        <v/>
      </c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 t="str">
        <f>IFERROR(__xludf.DUMMYFUNCTION("""COMPUTED_VALUE"""),"")</f>
        <v/>
      </c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 t="str">
        <f>IFERROR(__xludf.DUMMYFUNCTION("""COMPUTED_VALUE"""),"")</f>
        <v/>
      </c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 t="str">
        <f>IFERROR(__xludf.DUMMYFUNCTION("""COMPUTED_VALUE"""),"")</f>
        <v/>
      </c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 t="str">
        <f>IFERROR(__xludf.DUMMYFUNCTION("""COMPUTED_VALUE"""),"")</f>
        <v/>
      </c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 t="str">
        <f>IFERROR(__xludf.DUMMYFUNCTION("""COMPUTED_VALUE"""),"")</f>
        <v/>
      </c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 t="str">
        <f>IFERROR(__xludf.DUMMYFUNCTION("""COMPUTED_VALUE"""),"")</f>
        <v/>
      </c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 t="str">
        <f>IFERROR(__xludf.DUMMYFUNCTION("""COMPUTED_VALUE"""),"")</f>
        <v/>
      </c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 t="str">
        <f>IFERROR(__xludf.DUMMYFUNCTION("""COMPUTED_VALUE"""),"")</f>
        <v/>
      </c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 t="str">
        <f>IFERROR(__xludf.DUMMYFUNCTION("""COMPUTED_VALUE"""),"")</f>
        <v/>
      </c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 t="str">
        <f>IFERROR(__xludf.DUMMYFUNCTION("""COMPUTED_VALUE"""),"")</f>
        <v/>
      </c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 t="str">
        <f>IFERROR(__xludf.DUMMYFUNCTION("""COMPUTED_VALUE"""),"")</f>
        <v/>
      </c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 t="str">
        <f>IFERROR(__xludf.DUMMYFUNCTION("""COMPUTED_VALUE"""),"")</f>
        <v/>
      </c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 t="str">
        <f>IFERROR(__xludf.DUMMYFUNCTION("""COMPUTED_VALUE"""),"")</f>
        <v/>
      </c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 t="str">
        <f>IFERROR(__xludf.DUMMYFUNCTION("""COMPUTED_VALUE"""),"")</f>
        <v/>
      </c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 t="str">
        <f>IFERROR(__xludf.DUMMYFUNCTION("""COMPUTED_VALUE"""),"")</f>
        <v/>
      </c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 t="str">
        <f>IFERROR(__xludf.DUMMYFUNCTION("""COMPUTED_VALUE"""),"")</f>
        <v/>
      </c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 t="str">
        <f>IFERROR(__xludf.DUMMYFUNCTION("""COMPUTED_VALUE"""),"")</f>
        <v/>
      </c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 t="str">
        <f>IFERROR(__xludf.DUMMYFUNCTION("""COMPUTED_VALUE"""),"")</f>
        <v/>
      </c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 t="str">
        <f>IFERROR(__xludf.DUMMYFUNCTION("""COMPUTED_VALUE"""),"")</f>
        <v/>
      </c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 t="str">
        <f>IFERROR(__xludf.DUMMYFUNCTION("""COMPUTED_VALUE"""),"")</f>
        <v/>
      </c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 t="str">
        <f>IFERROR(__xludf.DUMMYFUNCTION("""COMPUTED_VALUE"""),"")</f>
        <v/>
      </c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 t="str">
        <f>IFERROR(__xludf.DUMMYFUNCTION("""COMPUTED_VALUE"""),"")</f>
        <v/>
      </c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 t="str">
        <f>IFERROR(__xludf.DUMMYFUNCTION("""COMPUTED_VALUE"""),"")</f>
        <v/>
      </c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 t="str">
        <f>IFERROR(__xludf.DUMMYFUNCTION("""COMPUTED_VALUE"""),"")</f>
        <v/>
      </c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 t="str">
        <f>IFERROR(__xludf.DUMMYFUNCTION("""COMPUTED_VALUE"""),"")</f>
        <v/>
      </c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 t="str">
        <f>IFERROR(__xludf.DUMMYFUNCTION("""COMPUTED_VALUE"""),"")</f>
        <v/>
      </c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 t="str">
        <f>IFERROR(__xludf.DUMMYFUNCTION("""COMPUTED_VALUE"""),"")</f>
        <v/>
      </c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 t="str">
        <f>IFERROR(__xludf.DUMMYFUNCTION("""COMPUTED_VALUE"""),"")</f>
        <v/>
      </c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 t="str">
        <f>IFERROR(__xludf.DUMMYFUNCTION("""COMPUTED_VALUE"""),"")</f>
        <v/>
      </c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 t="str">
        <f>IFERROR(__xludf.DUMMYFUNCTION("""COMPUTED_VALUE"""),"")</f>
        <v/>
      </c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 t="str">
        <f>IFERROR(__xludf.DUMMYFUNCTION("""COMPUTED_VALUE"""),"")</f>
        <v/>
      </c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 t="str">
        <f>IFERROR(__xludf.DUMMYFUNCTION("""COMPUTED_VALUE"""),"")</f>
        <v/>
      </c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 t="str">
        <f>IFERROR(__xludf.DUMMYFUNCTION("""COMPUTED_VALUE"""),"")</f>
        <v/>
      </c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 t="str">
        <f>IFERROR(__xludf.DUMMYFUNCTION("""COMPUTED_VALUE"""),"")</f>
        <v/>
      </c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 t="str">
        <f>IFERROR(__xludf.DUMMYFUNCTION("""COMPUTED_VALUE"""),"")</f>
        <v/>
      </c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 t="str">
        <f>IFERROR(__xludf.DUMMYFUNCTION("""COMPUTED_VALUE"""),"")</f>
        <v/>
      </c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 t="str">
        <f>IFERROR(__xludf.DUMMYFUNCTION("""COMPUTED_VALUE"""),"")</f>
        <v/>
      </c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 t="str">
        <f>IFERROR(__xludf.DUMMYFUNCTION("""COMPUTED_VALUE"""),"")</f>
        <v/>
      </c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 t="str">
        <f>IFERROR(__xludf.DUMMYFUNCTION("""COMPUTED_VALUE"""),"")</f>
        <v/>
      </c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 t="str">
        <f>IFERROR(__xludf.DUMMYFUNCTION("""COMPUTED_VALUE"""),"")</f>
        <v/>
      </c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 t="str">
        <f>IFERROR(__xludf.DUMMYFUNCTION("""COMPUTED_VALUE"""),"")</f>
        <v/>
      </c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 t="str">
        <f>IFERROR(__xludf.DUMMYFUNCTION("""COMPUTED_VALUE"""),"")</f>
        <v/>
      </c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 t="str">
        <f>IFERROR(__xludf.DUMMYFUNCTION("""COMPUTED_VALUE"""),"")</f>
        <v/>
      </c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 t="str">
        <f>IFERROR(__xludf.DUMMYFUNCTION("""COMPUTED_VALUE"""),"")</f>
        <v/>
      </c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 t="str">
        <f>IFERROR(__xludf.DUMMYFUNCTION("""COMPUTED_VALUE"""),"")</f>
        <v/>
      </c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 t="str">
        <f>IFERROR(__xludf.DUMMYFUNCTION("""COMPUTED_VALUE"""),"")</f>
        <v/>
      </c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 t="str">
        <f>IFERROR(__xludf.DUMMYFUNCTION("""COMPUTED_VALUE"""),"")</f>
        <v/>
      </c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 t="str">
        <f>IFERROR(__xludf.DUMMYFUNCTION("""COMPUTED_VALUE"""),"")</f>
        <v/>
      </c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 t="str">
        <f>IFERROR(__xludf.DUMMYFUNCTION("""COMPUTED_VALUE"""),"")</f>
        <v/>
      </c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 t="str">
        <f>IFERROR(__xludf.DUMMYFUNCTION("""COMPUTED_VALUE"""),"")</f>
        <v/>
      </c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 t="str">
        <f>IFERROR(__xludf.DUMMYFUNCTION("""COMPUTED_VALUE"""),"")</f>
        <v/>
      </c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 t="str">
        <f>IFERROR(__xludf.DUMMYFUNCTION("""COMPUTED_VALUE"""),"")</f>
        <v/>
      </c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 t="str">
        <f>IFERROR(__xludf.DUMMYFUNCTION("""COMPUTED_VALUE"""),"")</f>
        <v/>
      </c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 t="str">
        <f>IFERROR(__xludf.DUMMYFUNCTION("""COMPUTED_VALUE"""),"")</f>
        <v/>
      </c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 t="str">
        <f>IFERROR(__xludf.DUMMYFUNCTION("""COMPUTED_VALUE"""),"")</f>
        <v/>
      </c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 t="str">
        <f>IFERROR(__xludf.DUMMYFUNCTION("""COMPUTED_VALUE"""),"")</f>
        <v/>
      </c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 t="str">
        <f>IFERROR(__xludf.DUMMYFUNCTION("""COMPUTED_VALUE"""),"")</f>
        <v/>
      </c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 t="str">
        <f>IFERROR(__xludf.DUMMYFUNCTION("""COMPUTED_VALUE"""),"")</f>
        <v/>
      </c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 t="str">
        <f>IFERROR(__xludf.DUMMYFUNCTION("""COMPUTED_VALUE"""),"")</f>
        <v/>
      </c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 t="str">
        <f>IFERROR(__xludf.DUMMYFUNCTION("""COMPUTED_VALUE"""),"")</f>
        <v/>
      </c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 t="str">
        <f>IFERROR(__xludf.DUMMYFUNCTION("""COMPUTED_VALUE"""),"")</f>
        <v/>
      </c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 t="str">
        <f>IFERROR(__xludf.DUMMYFUNCTION("""COMPUTED_VALUE"""),"")</f>
        <v/>
      </c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 t="str">
        <f>IFERROR(__xludf.DUMMYFUNCTION("""COMPUTED_VALUE"""),"")</f>
        <v/>
      </c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 t="str">
        <f>IFERROR(__xludf.DUMMYFUNCTION("""COMPUTED_VALUE"""),"")</f>
        <v/>
      </c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 t="str">
        <f>IFERROR(__xludf.DUMMYFUNCTION("""COMPUTED_VALUE"""),"")</f>
        <v/>
      </c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 t="str">
        <f>IFERROR(__xludf.DUMMYFUNCTION("""COMPUTED_VALUE"""),"")</f>
        <v/>
      </c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 t="str">
        <f>IFERROR(__xludf.DUMMYFUNCTION("""COMPUTED_VALUE"""),"")</f>
        <v/>
      </c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 t="str">
        <f>IFERROR(__xludf.DUMMYFUNCTION("""COMPUTED_VALUE"""),"")</f>
        <v/>
      </c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 t="str">
        <f>IFERROR(__xludf.DUMMYFUNCTION("""COMPUTED_VALUE"""),"")</f>
        <v/>
      </c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 t="str">
        <f>IFERROR(__xludf.DUMMYFUNCTION("""COMPUTED_VALUE"""),"")</f>
        <v/>
      </c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 t="str">
        <f>IFERROR(__xludf.DUMMYFUNCTION("""COMPUTED_VALUE"""),"")</f>
        <v/>
      </c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 t="str">
        <f>IFERROR(__xludf.DUMMYFUNCTION("""COMPUTED_VALUE"""),"")</f>
        <v/>
      </c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 t="str">
        <f>IFERROR(__xludf.DUMMYFUNCTION("""COMPUTED_VALUE"""),"")</f>
        <v/>
      </c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 t="str">
        <f>IFERROR(__xludf.DUMMYFUNCTION("""COMPUTED_VALUE"""),"")</f>
        <v/>
      </c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 t="str">
        <f>IFERROR(__xludf.DUMMYFUNCTION("""COMPUTED_VALUE"""),"")</f>
        <v/>
      </c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 t="str">
        <f>IFERROR(__xludf.DUMMYFUNCTION("""COMPUTED_VALUE"""),"")</f>
        <v/>
      </c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 t="str">
        <f>IFERROR(__xludf.DUMMYFUNCTION("""COMPUTED_VALUE"""),"")</f>
        <v/>
      </c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 t="str">
        <f>IFERROR(__xludf.DUMMYFUNCTION("""COMPUTED_VALUE"""),"")</f>
        <v/>
      </c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 t="str">
        <f>IFERROR(__xludf.DUMMYFUNCTION("""COMPUTED_VALUE"""),"")</f>
        <v/>
      </c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 t="str">
        <f>IFERROR(__xludf.DUMMYFUNCTION("""COMPUTED_VALUE"""),"")</f>
        <v/>
      </c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 t="str">
        <f>IFERROR(__xludf.DUMMYFUNCTION("""COMPUTED_VALUE"""),"")</f>
        <v/>
      </c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 t="str">
        <f>IFERROR(__xludf.DUMMYFUNCTION("""COMPUTED_VALUE"""),"")</f>
        <v/>
      </c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 t="str">
        <f>IFERROR(__xludf.DUMMYFUNCTION("""COMPUTED_VALUE"""),"")</f>
        <v/>
      </c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 t="str">
        <f>IFERROR(__xludf.DUMMYFUNCTION("""COMPUTED_VALUE"""),"")</f>
        <v/>
      </c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 t="str">
        <f>IFERROR(__xludf.DUMMYFUNCTION("""COMPUTED_VALUE"""),"")</f>
        <v/>
      </c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 t="str">
        <f>IFERROR(__xludf.DUMMYFUNCTION("""COMPUTED_VALUE"""),"")</f>
        <v/>
      </c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 t="str">
        <f>IFERROR(__xludf.DUMMYFUNCTION("""COMPUTED_VALUE"""),"")</f>
        <v/>
      </c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 t="str">
        <f>IFERROR(__xludf.DUMMYFUNCTION("""COMPUTED_VALUE"""),"")</f>
        <v/>
      </c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 t="str">
        <f>IFERROR(__xludf.DUMMYFUNCTION("""COMPUTED_VALUE"""),"")</f>
        <v/>
      </c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 t="str">
        <f>IFERROR(__xludf.DUMMYFUNCTION("""COMPUTED_VALUE"""),"")</f>
        <v/>
      </c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 t="str">
        <f>IFERROR(__xludf.DUMMYFUNCTION("""COMPUTED_VALUE"""),"")</f>
        <v/>
      </c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 t="str">
        <f>IFERROR(__xludf.DUMMYFUNCTION("""COMPUTED_VALUE"""),"")</f>
        <v/>
      </c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 t="str">
        <f>IFERROR(__xludf.DUMMYFUNCTION("""COMPUTED_VALUE"""),"")</f>
        <v/>
      </c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 t="str">
        <f>IFERROR(__xludf.DUMMYFUNCTION("""COMPUTED_VALUE"""),"")</f>
        <v/>
      </c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 t="str">
        <f>IFERROR(__xludf.DUMMYFUNCTION("""COMPUTED_VALUE"""),"")</f>
        <v/>
      </c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 t="str">
        <f>IFERROR(__xludf.DUMMYFUNCTION("""COMPUTED_VALUE"""),"")</f>
        <v/>
      </c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 t="str">
        <f>IFERROR(__xludf.DUMMYFUNCTION("""COMPUTED_VALUE"""),"")</f>
        <v/>
      </c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 t="str">
        <f>IFERROR(__xludf.DUMMYFUNCTION("""COMPUTED_VALUE"""),"")</f>
        <v/>
      </c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 t="str">
        <f>IFERROR(__xludf.DUMMYFUNCTION("""COMPUTED_VALUE"""),"")</f>
        <v/>
      </c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 t="str">
        <f>IFERROR(__xludf.DUMMYFUNCTION("""COMPUTED_VALUE"""),"")</f>
        <v/>
      </c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 t="str">
        <f>IFERROR(__xludf.DUMMYFUNCTION("""COMPUTED_VALUE"""),"")</f>
        <v/>
      </c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 t="str">
        <f>IFERROR(__xludf.DUMMYFUNCTION("""COMPUTED_VALUE"""),"")</f>
        <v/>
      </c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 t="str">
        <f>IFERROR(__xludf.DUMMYFUNCTION("""COMPUTED_VALUE"""),"")</f>
        <v/>
      </c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 t="str">
        <f>IFERROR(__xludf.DUMMYFUNCTION("""COMPUTED_VALUE"""),"")</f>
        <v/>
      </c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 t="str">
        <f>IFERROR(__xludf.DUMMYFUNCTION("""COMPUTED_VALUE"""),"")</f>
        <v/>
      </c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 t="str">
        <f>IFERROR(__xludf.DUMMYFUNCTION("""COMPUTED_VALUE"""),"")</f>
        <v/>
      </c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 t="str">
        <f>IFERROR(__xludf.DUMMYFUNCTION("""COMPUTED_VALUE"""),"")</f>
        <v/>
      </c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 t="str">
        <f>IFERROR(__xludf.DUMMYFUNCTION("""COMPUTED_VALUE"""),"")</f>
        <v/>
      </c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 t="str">
        <f>IFERROR(__xludf.DUMMYFUNCTION("""COMPUTED_VALUE"""),"")</f>
        <v/>
      </c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 t="str">
        <f>IFERROR(__xludf.DUMMYFUNCTION("""COMPUTED_VALUE"""),"")</f>
        <v/>
      </c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 t="str">
        <f>IFERROR(__xludf.DUMMYFUNCTION("""COMPUTED_VALUE"""),"")</f>
        <v/>
      </c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 t="str">
        <f>IFERROR(__xludf.DUMMYFUNCTION("""COMPUTED_VALUE"""),"")</f>
        <v/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 t="str">
        <f>IFERROR(__xludf.DUMMYFUNCTION("""COMPUTED_VALUE"""),"")</f>
        <v/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 t="str">
        <f>IFERROR(__xludf.DUMMYFUNCTION("""COMPUTED_VALUE"""),"")</f>
        <v/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 t="str">
        <f>IFERROR(__xludf.DUMMYFUNCTION("""COMPUTED_VALUE"""),"")</f>
        <v/>
      </c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 t="str">
        <f>IFERROR(__xludf.DUMMYFUNCTION("""COMPUTED_VALUE"""),"")</f>
        <v/>
      </c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 t="str">
        <f>IFERROR(__xludf.DUMMYFUNCTION("""COMPUTED_VALUE"""),"")</f>
        <v/>
      </c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 t="str">
        <f>IFERROR(__xludf.DUMMYFUNCTION("""COMPUTED_VALUE"""),"")</f>
        <v/>
      </c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 t="str">
        <f>IFERROR(__xludf.DUMMYFUNCTION("""COMPUTED_VALUE"""),"")</f>
        <v/>
      </c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 t="str">
        <f>IFERROR(__xludf.DUMMYFUNCTION("""COMPUTED_VALUE"""),"")</f>
        <v/>
      </c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 t="str">
        <f>IFERROR(__xludf.DUMMYFUNCTION("""COMPUTED_VALUE"""),"")</f>
        <v/>
      </c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 t="str">
        <f>IFERROR(__xludf.DUMMYFUNCTION("""COMPUTED_VALUE"""),"")</f>
        <v/>
      </c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 t="str">
        <f>IFERROR(__xludf.DUMMYFUNCTION("""COMPUTED_VALUE"""),"")</f>
        <v/>
      </c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 t="str">
        <f>IFERROR(__xludf.DUMMYFUNCTION("""COMPUTED_VALUE"""),"")</f>
        <v/>
      </c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 t="str">
        <f>IFERROR(__xludf.DUMMYFUNCTION("""COMPUTED_VALUE"""),"")</f>
        <v/>
      </c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 t="str">
        <f>IFERROR(__xludf.DUMMYFUNCTION("""COMPUTED_VALUE"""),"")</f>
        <v/>
      </c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 t="str">
        <f>IFERROR(__xludf.DUMMYFUNCTION("""COMPUTED_VALUE"""),"")</f>
        <v/>
      </c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 t="str">
        <f>IFERROR(__xludf.DUMMYFUNCTION("""COMPUTED_VALUE"""),"")</f>
        <v/>
      </c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 t="str">
        <f>IFERROR(__xludf.DUMMYFUNCTION("""COMPUTED_VALUE"""),"")</f>
        <v/>
      </c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 t="str">
        <f>IFERROR(__xludf.DUMMYFUNCTION("""COMPUTED_VALUE"""),"")</f>
        <v/>
      </c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 t="str">
        <f>IFERROR(__xludf.DUMMYFUNCTION("""COMPUTED_VALUE"""),"")</f>
        <v/>
      </c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 t="str">
        <f>IFERROR(__xludf.DUMMYFUNCTION("""COMPUTED_VALUE"""),"")</f>
        <v/>
      </c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 t="str">
        <f>IFERROR(__xludf.DUMMYFUNCTION("""COMPUTED_VALUE"""),"")</f>
        <v/>
      </c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 t="str">
        <f>IFERROR(__xludf.DUMMYFUNCTION("""COMPUTED_VALUE"""),"")</f>
        <v/>
      </c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 t="str">
        <f>IFERROR(__xludf.DUMMYFUNCTION("""COMPUTED_VALUE"""),"")</f>
        <v/>
      </c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 t="str">
        <f>IFERROR(__xludf.DUMMYFUNCTION("""COMPUTED_VALUE"""),"")</f>
        <v/>
      </c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 t="str">
        <f>IFERROR(__xludf.DUMMYFUNCTION("""COMPUTED_VALUE"""),"")</f>
        <v/>
      </c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 t="str">
        <f>IFERROR(__xludf.DUMMYFUNCTION("""COMPUTED_VALUE"""),"")</f>
        <v/>
      </c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 t="str">
        <f>IFERROR(__xludf.DUMMYFUNCTION("""COMPUTED_VALUE"""),"")</f>
        <v/>
      </c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 t="str">
        <f>IFERROR(__xludf.DUMMYFUNCTION("""COMPUTED_VALUE"""),"")</f>
        <v/>
      </c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 t="str">
        <f>IFERROR(__xludf.DUMMYFUNCTION("""COMPUTED_VALUE"""),"")</f>
        <v/>
      </c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 t="str">
        <f>IFERROR(__xludf.DUMMYFUNCTION("""COMPUTED_VALUE"""),"")</f>
        <v/>
      </c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 t="str">
        <f>IFERROR(__xludf.DUMMYFUNCTION("""COMPUTED_VALUE"""),"")</f>
        <v/>
      </c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 t="str">
        <f>IFERROR(__xludf.DUMMYFUNCTION("""COMPUTED_VALUE"""),"")</f>
        <v/>
      </c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 t="str">
        <f>IFERROR(__xludf.DUMMYFUNCTION("""COMPUTED_VALUE"""),"")</f>
        <v/>
      </c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 t="str">
        <f>IFERROR(__xludf.DUMMYFUNCTION("""COMPUTED_VALUE"""),"")</f>
        <v/>
      </c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 t="str">
        <f>IFERROR(__xludf.DUMMYFUNCTION("""COMPUTED_VALUE"""),"")</f>
        <v/>
      </c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 t="str">
        <f>IFERROR(__xludf.DUMMYFUNCTION("""COMPUTED_VALUE"""),"")</f>
        <v/>
      </c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 t="str">
        <f>IFERROR(__xludf.DUMMYFUNCTION("""COMPUTED_VALUE"""),"")</f>
        <v/>
      </c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 t="str">
        <f>IFERROR(__xludf.DUMMYFUNCTION("""COMPUTED_VALUE"""),"")</f>
        <v/>
      </c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 t="str">
        <f>IFERROR(__xludf.DUMMYFUNCTION("""COMPUTED_VALUE"""),"")</f>
        <v/>
      </c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 t="str">
        <f>IFERROR(__xludf.DUMMYFUNCTION("""COMPUTED_VALUE"""),"")</f>
        <v/>
      </c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 t="str">
        <f>IFERROR(__xludf.DUMMYFUNCTION("""COMPUTED_VALUE"""),"")</f>
        <v/>
      </c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 t="str">
        <f>IFERROR(__xludf.DUMMYFUNCTION("""COMPUTED_VALUE"""),"")</f>
        <v/>
      </c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 t="str">
        <f>IFERROR(__xludf.DUMMYFUNCTION("""COMPUTED_VALUE"""),"")</f>
        <v/>
      </c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 t="str">
        <f>IFERROR(__xludf.DUMMYFUNCTION("""COMPUTED_VALUE"""),"")</f>
        <v/>
      </c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 t="str">
        <f>IFERROR(__xludf.DUMMYFUNCTION("""COMPUTED_VALUE"""),"")</f>
        <v/>
      </c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 t="str">
        <f>IFERROR(__xludf.DUMMYFUNCTION("""COMPUTED_VALUE"""),"")</f>
        <v/>
      </c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 t="str">
        <f>IFERROR(__xludf.DUMMYFUNCTION("""COMPUTED_VALUE"""),"")</f>
        <v/>
      </c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 t="str">
        <f>IFERROR(__xludf.DUMMYFUNCTION("""COMPUTED_VALUE"""),"")</f>
        <v/>
      </c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 t="str">
        <f>IFERROR(__xludf.DUMMYFUNCTION("""COMPUTED_VALUE"""),"")</f>
        <v/>
      </c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 t="str">
        <f>IFERROR(__xludf.DUMMYFUNCTION("""COMPUTED_VALUE"""),"")</f>
        <v/>
      </c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 t="str">
        <f>IFERROR(__xludf.DUMMYFUNCTION("""COMPUTED_VALUE"""),"")</f>
        <v/>
      </c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 t="str">
        <f>IFERROR(__xludf.DUMMYFUNCTION("""COMPUTED_VALUE"""),"")</f>
        <v/>
      </c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 t="str">
        <f>IFERROR(__xludf.DUMMYFUNCTION("""COMPUTED_VALUE"""),"")</f>
        <v/>
      </c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 t="str">
        <f>IFERROR(__xludf.DUMMYFUNCTION("""COMPUTED_VALUE"""),"")</f>
        <v/>
      </c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 t="str">
        <f>IFERROR(__xludf.DUMMYFUNCTION("""COMPUTED_VALUE"""),"")</f>
        <v/>
      </c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 t="str">
        <f>IFERROR(__xludf.DUMMYFUNCTION("""COMPUTED_VALUE"""),"")</f>
        <v/>
      </c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 t="str">
        <f>IFERROR(__xludf.DUMMYFUNCTION("""COMPUTED_VALUE"""),"")</f>
        <v/>
      </c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 t="str">
        <f>IFERROR(__xludf.DUMMYFUNCTION("""COMPUTED_VALUE"""),"")</f>
        <v/>
      </c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 t="str">
        <f>IFERROR(__xludf.DUMMYFUNCTION("""COMPUTED_VALUE"""),"")</f>
        <v/>
      </c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 t="str">
        <f>IFERROR(__xludf.DUMMYFUNCTION("""COMPUTED_VALUE"""),"")</f>
        <v/>
      </c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 t="str">
        <f>IFERROR(__xludf.DUMMYFUNCTION("""COMPUTED_VALUE"""),"")</f>
        <v/>
      </c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 t="str">
        <f>IFERROR(__xludf.DUMMYFUNCTION("""COMPUTED_VALUE"""),"")</f>
        <v/>
      </c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 t="str">
        <f>IFERROR(__xludf.DUMMYFUNCTION("""COMPUTED_VALUE"""),"")</f>
        <v/>
      </c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 t="str">
        <f>IFERROR(__xludf.DUMMYFUNCTION("""COMPUTED_VALUE"""),"")</f>
        <v/>
      </c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 t="str">
        <f>IFERROR(__xludf.DUMMYFUNCTION("""COMPUTED_VALUE"""),"")</f>
        <v/>
      </c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 t="str">
        <f>IFERROR(__xludf.DUMMYFUNCTION("""COMPUTED_VALUE"""),"")</f>
        <v/>
      </c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 t="str">
        <f>IFERROR(__xludf.DUMMYFUNCTION("""COMPUTED_VALUE"""),"")</f>
        <v/>
      </c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 t="str">
        <f>IFERROR(__xludf.DUMMYFUNCTION("""COMPUTED_VALUE"""),"")</f>
        <v/>
      </c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 t="str">
        <f>IFERROR(__xludf.DUMMYFUNCTION("""COMPUTED_VALUE"""),"")</f>
        <v/>
      </c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 t="str">
        <f>IFERROR(__xludf.DUMMYFUNCTION("""COMPUTED_VALUE"""),"")</f>
        <v/>
      </c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 t="str">
        <f>IFERROR(__xludf.DUMMYFUNCTION("""COMPUTED_VALUE"""),"")</f>
        <v/>
      </c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 t="str">
        <f>IFERROR(__xludf.DUMMYFUNCTION("""COMPUTED_VALUE"""),"")</f>
        <v/>
      </c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 t="str">
        <f>IFERROR(__xludf.DUMMYFUNCTION("""COMPUTED_VALUE"""),"")</f>
        <v/>
      </c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 t="str">
        <f>IFERROR(__xludf.DUMMYFUNCTION("""COMPUTED_VALUE"""),"")</f>
        <v/>
      </c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 t="str">
        <f>IFERROR(__xludf.DUMMYFUNCTION("""COMPUTED_VALUE"""),"")</f>
        <v/>
      </c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 t="str">
        <f>IFERROR(__xludf.DUMMYFUNCTION("""COMPUTED_VALUE"""),"")</f>
        <v/>
      </c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 t="str">
        <f>IFERROR(__xludf.DUMMYFUNCTION("""COMPUTED_VALUE"""),"")</f>
        <v/>
      </c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 t="str">
        <f>IFERROR(__xludf.DUMMYFUNCTION("""COMPUTED_VALUE"""),"")</f>
        <v/>
      </c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 t="str">
        <f>IFERROR(__xludf.DUMMYFUNCTION("""COMPUTED_VALUE"""),"")</f>
        <v/>
      </c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 t="str">
        <f>IFERROR(__xludf.DUMMYFUNCTION("""COMPUTED_VALUE"""),"")</f>
        <v/>
      </c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 t="str">
        <f>IFERROR(__xludf.DUMMYFUNCTION("""COMPUTED_VALUE"""),"")</f>
        <v/>
      </c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 t="str">
        <f>IFERROR(__xludf.DUMMYFUNCTION("""COMPUTED_VALUE"""),"")</f>
        <v/>
      </c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 t="str">
        <f>IFERROR(__xludf.DUMMYFUNCTION("""COMPUTED_VALUE"""),"")</f>
        <v/>
      </c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 t="str">
        <f>IFERROR(__xludf.DUMMYFUNCTION("""COMPUTED_VALUE"""),"")</f>
        <v/>
      </c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 t="str">
        <f>IFERROR(__xludf.DUMMYFUNCTION("""COMPUTED_VALUE"""),"")</f>
        <v/>
      </c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 t="str">
        <f>IFERROR(__xludf.DUMMYFUNCTION("""COMPUTED_VALUE"""),"")</f>
        <v/>
      </c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 t="str">
        <f>IFERROR(__xludf.DUMMYFUNCTION("""COMPUTED_VALUE"""),"")</f>
        <v/>
      </c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 t="str">
        <f>IFERROR(__xludf.DUMMYFUNCTION("""COMPUTED_VALUE"""),"")</f>
        <v/>
      </c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 t="str">
        <f>IFERROR(__xludf.DUMMYFUNCTION("""COMPUTED_VALUE"""),"")</f>
        <v/>
      </c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 t="str">
        <f>IFERROR(__xludf.DUMMYFUNCTION("""COMPUTED_VALUE"""),"")</f>
        <v/>
      </c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 t="str">
        <f>IFERROR(__xludf.DUMMYFUNCTION("""COMPUTED_VALUE"""),"")</f>
        <v/>
      </c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 t="str">
        <f>IFERROR(__xludf.DUMMYFUNCTION("""COMPUTED_VALUE"""),"")</f>
        <v/>
      </c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 t="str">
        <f>IFERROR(__xludf.DUMMYFUNCTION("""COMPUTED_VALUE"""),"")</f>
        <v/>
      </c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 t="str">
        <f>IFERROR(__xludf.DUMMYFUNCTION("""COMPUTED_VALUE"""),"")</f>
        <v/>
      </c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 t="str">
        <f>IFERROR(__xludf.DUMMYFUNCTION("""COMPUTED_VALUE"""),"")</f>
        <v/>
      </c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 t="str">
        <f>IFERROR(__xludf.DUMMYFUNCTION("""COMPUTED_VALUE"""),"")</f>
        <v/>
      </c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 t="str">
        <f>IFERROR(__xludf.DUMMYFUNCTION("""COMPUTED_VALUE"""),"")</f>
        <v/>
      </c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 t="str">
        <f>IFERROR(__xludf.DUMMYFUNCTION("""COMPUTED_VALUE"""),"")</f>
        <v/>
      </c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 t="str">
        <f>IFERROR(__xludf.DUMMYFUNCTION("""COMPUTED_VALUE"""),"")</f>
        <v/>
      </c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 t="str">
        <f>IFERROR(__xludf.DUMMYFUNCTION("""COMPUTED_VALUE"""),"")</f>
        <v/>
      </c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 t="str">
        <f>IFERROR(__xludf.DUMMYFUNCTION("""COMPUTED_VALUE"""),"")</f>
        <v/>
      </c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 t="str">
        <f>IFERROR(__xludf.DUMMYFUNCTION("""COMPUTED_VALUE"""),"")</f>
        <v/>
      </c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 t="str">
        <f>IFERROR(__xludf.DUMMYFUNCTION("""COMPUTED_VALUE"""),"")</f>
        <v/>
      </c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 t="str">
        <f>IFERROR(__xludf.DUMMYFUNCTION("""COMPUTED_VALUE"""),"")</f>
        <v/>
      </c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 t="str">
        <f>IFERROR(__xludf.DUMMYFUNCTION("""COMPUTED_VALUE"""),"")</f>
        <v/>
      </c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 t="str">
        <f>IFERROR(__xludf.DUMMYFUNCTION("""COMPUTED_VALUE"""),"")</f>
        <v/>
      </c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 t="str">
        <f>IFERROR(__xludf.DUMMYFUNCTION("""COMPUTED_VALUE"""),"")</f>
        <v/>
      </c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 t="str">
        <f>IFERROR(__xludf.DUMMYFUNCTION("""COMPUTED_VALUE"""),"")</f>
        <v/>
      </c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 t="str">
        <f>IFERROR(__xludf.DUMMYFUNCTION("""COMPUTED_VALUE"""),"")</f>
        <v/>
      </c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 t="str">
        <f>IFERROR(__xludf.DUMMYFUNCTION("""COMPUTED_VALUE"""),"")</f>
        <v/>
      </c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 t="str">
        <f>IFERROR(__xludf.DUMMYFUNCTION("""COMPUTED_VALUE"""),"")</f>
        <v/>
      </c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 t="str">
        <f>IFERROR(__xludf.DUMMYFUNCTION("""COMPUTED_VALUE"""),"")</f>
        <v/>
      </c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 t="str">
        <f>IFERROR(__xludf.DUMMYFUNCTION("""COMPUTED_VALUE"""),"")</f>
        <v/>
      </c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 t="str">
        <f>IFERROR(__xludf.DUMMYFUNCTION("""COMPUTED_VALUE"""),"")</f>
        <v/>
      </c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 t="str">
        <f>IFERROR(__xludf.DUMMYFUNCTION("""COMPUTED_VALUE"""),"")</f>
        <v/>
      </c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 t="str">
        <f>IFERROR(__xludf.DUMMYFUNCTION("""COMPUTED_VALUE"""),"")</f>
        <v/>
      </c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 t="str">
        <f>IFERROR(__xludf.DUMMYFUNCTION("""COMPUTED_VALUE"""),"")</f>
        <v/>
      </c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 t="str">
        <f>IFERROR(__xludf.DUMMYFUNCTION("""COMPUTED_VALUE"""),"")</f>
        <v/>
      </c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 t="str">
        <f>IFERROR(__xludf.DUMMYFUNCTION("""COMPUTED_VALUE"""),"")</f>
        <v/>
      </c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 t="str">
        <f>IFERROR(__xludf.DUMMYFUNCTION("""COMPUTED_VALUE"""),"")</f>
        <v/>
      </c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 t="str">
        <f>IFERROR(__xludf.DUMMYFUNCTION("""COMPUTED_VALUE"""),"")</f>
        <v/>
      </c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 t="str">
        <f>IFERROR(__xludf.DUMMYFUNCTION("""COMPUTED_VALUE"""),"")</f>
        <v/>
      </c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 t="str">
        <f>IFERROR(__xludf.DUMMYFUNCTION("""COMPUTED_VALUE"""),"")</f>
        <v/>
      </c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 t="str">
        <f>IFERROR(__xludf.DUMMYFUNCTION("""COMPUTED_VALUE"""),"")</f>
        <v/>
      </c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 t="str">
        <f>IFERROR(__xludf.DUMMYFUNCTION("""COMPUTED_VALUE"""),"")</f>
        <v/>
      </c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 t="str">
        <f>IFERROR(__xludf.DUMMYFUNCTION("""COMPUTED_VALUE"""),"")</f>
        <v/>
      </c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 t="str">
        <f>IFERROR(__xludf.DUMMYFUNCTION("""COMPUTED_VALUE"""),"")</f>
        <v/>
      </c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 t="str">
        <f>IFERROR(__xludf.DUMMYFUNCTION("""COMPUTED_VALUE"""),"")</f>
        <v/>
      </c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 t="str">
        <f>IFERROR(__xludf.DUMMYFUNCTION("""COMPUTED_VALUE"""),"")</f>
        <v/>
      </c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 t="str">
        <f>IFERROR(__xludf.DUMMYFUNCTION("""COMPUTED_VALUE"""),"")</f>
        <v/>
      </c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 t="str">
        <f>IFERROR(__xludf.DUMMYFUNCTION("""COMPUTED_VALUE"""),"")</f>
        <v/>
      </c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 t="str">
        <f>IFERROR(__xludf.DUMMYFUNCTION("""COMPUTED_VALUE"""),"")</f>
        <v/>
      </c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 t="str">
        <f>IFERROR(__xludf.DUMMYFUNCTION("""COMPUTED_VALUE"""),"")</f>
        <v/>
      </c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 t="str">
        <f>IFERROR(__xludf.DUMMYFUNCTION("""COMPUTED_VALUE"""),"")</f>
        <v/>
      </c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 t="str">
        <f>IFERROR(__xludf.DUMMYFUNCTION("""COMPUTED_VALUE"""),"")</f>
        <v/>
      </c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 t="str">
        <f>IFERROR(__xludf.DUMMYFUNCTION("""COMPUTED_VALUE"""),"")</f>
        <v/>
      </c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 t="str">
        <f>IFERROR(__xludf.DUMMYFUNCTION("""COMPUTED_VALUE"""),"")</f>
        <v/>
      </c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 t="str">
        <f>IFERROR(__xludf.DUMMYFUNCTION("""COMPUTED_VALUE"""),"")</f>
        <v/>
      </c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 t="str">
        <f>IFERROR(__xludf.DUMMYFUNCTION("""COMPUTED_VALUE"""),"")</f>
        <v/>
      </c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 t="str">
        <f>IFERROR(__xludf.DUMMYFUNCTION("""COMPUTED_VALUE"""),"")</f>
        <v/>
      </c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 t="str">
        <f>IFERROR(__xludf.DUMMYFUNCTION("""COMPUTED_VALUE"""),"")</f>
        <v/>
      </c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 t="str">
        <f>IFERROR(__xludf.DUMMYFUNCTION("""COMPUTED_VALUE"""),"")</f>
        <v/>
      </c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 t="str">
        <f>IFERROR(__xludf.DUMMYFUNCTION("""COMPUTED_VALUE"""),"")</f>
        <v/>
      </c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 t="str">
        <f>IFERROR(__xludf.DUMMYFUNCTION("""COMPUTED_VALUE"""),"")</f>
        <v/>
      </c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 t="str">
        <f>IFERROR(__xludf.DUMMYFUNCTION("""COMPUTED_VALUE"""),"")</f>
        <v/>
      </c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 t="str">
        <f>IFERROR(__xludf.DUMMYFUNCTION("""COMPUTED_VALUE"""),"")</f>
        <v/>
      </c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 t="str">
        <f>IFERROR(__xludf.DUMMYFUNCTION("""COMPUTED_VALUE"""),"")</f>
        <v/>
      </c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 t="str">
        <f>IFERROR(__xludf.DUMMYFUNCTION("""COMPUTED_VALUE"""),"")</f>
        <v/>
      </c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 t="str">
        <f>IFERROR(__xludf.DUMMYFUNCTION("""COMPUTED_VALUE"""),"")</f>
        <v/>
      </c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 t="str">
        <f>IFERROR(__xludf.DUMMYFUNCTION("""COMPUTED_VALUE"""),"")</f>
        <v/>
      </c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 t="str">
        <f>IFERROR(__xludf.DUMMYFUNCTION("""COMPUTED_VALUE"""),"")</f>
        <v/>
      </c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 t="str">
        <f>IFERROR(__xludf.DUMMYFUNCTION("""COMPUTED_VALUE"""),"")</f>
        <v/>
      </c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 t="str">
        <f>IFERROR(__xludf.DUMMYFUNCTION("""COMPUTED_VALUE"""),"")</f>
        <v/>
      </c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 t="str">
        <f>IFERROR(__xludf.DUMMYFUNCTION("""COMPUTED_VALUE"""),"")</f>
        <v/>
      </c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 t="str">
        <f>IFERROR(__xludf.DUMMYFUNCTION("""COMPUTED_VALUE"""),"")</f>
        <v/>
      </c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 t="str">
        <f>IFERROR(__xludf.DUMMYFUNCTION("""COMPUTED_VALUE"""),"")</f>
        <v/>
      </c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 t="str">
        <f>IFERROR(__xludf.DUMMYFUNCTION("""COMPUTED_VALUE"""),"")</f>
        <v/>
      </c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 t="str">
        <f>IFERROR(__xludf.DUMMYFUNCTION("""COMPUTED_VALUE"""),"")</f>
        <v/>
      </c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 t="str">
        <f>IFERROR(__xludf.DUMMYFUNCTION("""COMPUTED_VALUE"""),"")</f>
        <v/>
      </c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 t="str">
        <f>IFERROR(__xludf.DUMMYFUNCTION("""COMPUTED_VALUE"""),"")</f>
        <v/>
      </c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 t="str">
        <f>IFERROR(__xludf.DUMMYFUNCTION("""COMPUTED_VALUE"""),"")</f>
        <v/>
      </c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 t="str">
        <f>IFERROR(__xludf.DUMMYFUNCTION("""COMPUTED_VALUE"""),"")</f>
        <v/>
      </c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 t="str">
        <f>IFERROR(__xludf.DUMMYFUNCTION("""COMPUTED_VALUE"""),"")</f>
        <v/>
      </c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 t="str">
        <f>IFERROR(__xludf.DUMMYFUNCTION("""COMPUTED_VALUE"""),"")</f>
        <v/>
      </c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 t="str">
        <f>IFERROR(__xludf.DUMMYFUNCTION("""COMPUTED_VALUE"""),"")</f>
        <v/>
      </c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 t="str">
        <f>IFERROR(__xludf.DUMMYFUNCTION("""COMPUTED_VALUE"""),"")</f>
        <v/>
      </c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 t="str">
        <f>IFERROR(__xludf.DUMMYFUNCTION("""COMPUTED_VALUE"""),"")</f>
        <v/>
      </c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 t="str">
        <f>IFERROR(__xludf.DUMMYFUNCTION("""COMPUTED_VALUE"""),"")</f>
        <v/>
      </c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 t="str">
        <f>IFERROR(__xludf.DUMMYFUNCTION("""COMPUTED_VALUE"""),"")</f>
        <v/>
      </c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 t="str">
        <f>IFERROR(__xludf.DUMMYFUNCTION("""COMPUTED_VALUE"""),"")</f>
        <v/>
      </c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 t="str">
        <f>IFERROR(__xludf.DUMMYFUNCTION("""COMPUTED_VALUE"""),"")</f>
        <v/>
      </c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 t="str">
        <f>IFERROR(__xludf.DUMMYFUNCTION("""COMPUTED_VALUE"""),"")</f>
        <v/>
      </c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 t="str">
        <f>IFERROR(__xludf.DUMMYFUNCTION("""COMPUTED_VALUE"""),"")</f>
        <v/>
      </c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 t="str">
        <f>IFERROR(__xludf.DUMMYFUNCTION("""COMPUTED_VALUE"""),"")</f>
        <v/>
      </c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 t="str">
        <f>IFERROR(__xludf.DUMMYFUNCTION("""COMPUTED_VALUE"""),"")</f>
        <v/>
      </c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 t="str">
        <f>IFERROR(__xludf.DUMMYFUNCTION("""COMPUTED_VALUE"""),"")</f>
        <v/>
      </c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 t="str">
        <f>IFERROR(__xludf.DUMMYFUNCTION("""COMPUTED_VALUE"""),"")</f>
        <v/>
      </c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 t="str">
        <f>IFERROR(__xludf.DUMMYFUNCTION("""COMPUTED_VALUE"""),"")</f>
        <v/>
      </c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 t="str">
        <f>IFERROR(__xludf.DUMMYFUNCTION("""COMPUTED_VALUE"""),"")</f>
        <v/>
      </c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 t="str">
        <f>IFERROR(__xludf.DUMMYFUNCTION("""COMPUTED_VALUE"""),"")</f>
        <v/>
      </c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 t="str">
        <f>IFERROR(__xludf.DUMMYFUNCTION("""COMPUTED_VALUE"""),"")</f>
        <v/>
      </c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 t="str">
        <f>IFERROR(__xludf.DUMMYFUNCTION("""COMPUTED_VALUE"""),"")</f>
        <v/>
      </c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 t="str">
        <f>IFERROR(__xludf.DUMMYFUNCTION("""COMPUTED_VALUE"""),"")</f>
        <v/>
      </c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 t="str">
        <f>IFERROR(__xludf.DUMMYFUNCTION("""COMPUTED_VALUE"""),"")</f>
        <v/>
      </c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 t="str">
        <f>IFERROR(__xludf.DUMMYFUNCTION("""COMPUTED_VALUE"""),"")</f>
        <v/>
      </c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 t="str">
        <f>IFERROR(__xludf.DUMMYFUNCTION("""COMPUTED_VALUE"""),"")</f>
        <v/>
      </c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 t="str">
        <f>IFERROR(__xludf.DUMMYFUNCTION("""COMPUTED_VALUE"""),"")</f>
        <v/>
      </c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 t="str">
        <f>IFERROR(__xludf.DUMMYFUNCTION("""COMPUTED_VALUE"""),"")</f>
        <v/>
      </c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 t="str">
        <f>IFERROR(__xludf.DUMMYFUNCTION("""COMPUTED_VALUE"""),"")</f>
        <v/>
      </c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 t="str">
        <f>IFERROR(__xludf.DUMMYFUNCTION("""COMPUTED_VALUE"""),"")</f>
        <v/>
      </c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 t="str">
        <f>IFERROR(__xludf.DUMMYFUNCTION("""COMPUTED_VALUE"""),"")</f>
        <v/>
      </c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 t="str">
        <f>IFERROR(__xludf.DUMMYFUNCTION("""COMPUTED_VALUE"""),"")</f>
        <v/>
      </c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 t="str">
        <f>IFERROR(__xludf.DUMMYFUNCTION("""COMPUTED_VALUE"""),"")</f>
        <v/>
      </c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 t="str">
        <f>IFERROR(__xludf.DUMMYFUNCTION("""COMPUTED_VALUE"""),"")</f>
        <v/>
      </c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 t="str">
        <f>IFERROR(__xludf.DUMMYFUNCTION("""COMPUTED_VALUE"""),"")</f>
        <v/>
      </c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 t="str">
        <f>IFERROR(__xludf.DUMMYFUNCTION("""COMPUTED_VALUE"""),"")</f>
        <v/>
      </c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 t="str">
        <f>IFERROR(__xludf.DUMMYFUNCTION("""COMPUTED_VALUE"""),"")</f>
        <v/>
      </c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 t="str">
        <f>IFERROR(__xludf.DUMMYFUNCTION("""COMPUTED_VALUE"""),"")</f>
        <v/>
      </c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 t="str">
        <f>IFERROR(__xludf.DUMMYFUNCTION("""COMPUTED_VALUE"""),"")</f>
        <v/>
      </c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 t="str">
        <f>IFERROR(__xludf.DUMMYFUNCTION("""COMPUTED_VALUE"""),"")</f>
        <v/>
      </c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 t="str">
        <f>IFERROR(__xludf.DUMMYFUNCTION("""COMPUTED_VALUE"""),"")</f>
        <v/>
      </c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 t="str">
        <f>IFERROR(__xludf.DUMMYFUNCTION("""COMPUTED_VALUE"""),"")</f>
        <v/>
      </c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 t="str">
        <f>IFERROR(__xludf.DUMMYFUNCTION("""COMPUTED_VALUE"""),"")</f>
        <v/>
      </c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 t="str">
        <f>IFERROR(__xludf.DUMMYFUNCTION("""COMPUTED_VALUE"""),"")</f>
        <v/>
      </c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 t="str">
        <f>IFERROR(__xludf.DUMMYFUNCTION("""COMPUTED_VALUE"""),"")</f>
        <v/>
      </c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 t="str">
        <f>IFERROR(__xludf.DUMMYFUNCTION("""COMPUTED_VALUE"""),"")</f>
        <v/>
      </c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 t="str">
        <f>IFERROR(__xludf.DUMMYFUNCTION("""COMPUTED_VALUE"""),"")</f>
        <v/>
      </c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 t="str">
        <f>IFERROR(__xludf.DUMMYFUNCTION("""COMPUTED_VALUE"""),"")</f>
        <v/>
      </c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 t="str">
        <f>IFERROR(__xludf.DUMMYFUNCTION("""COMPUTED_VALUE"""),"")</f>
        <v/>
      </c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 t="str">
        <f>IFERROR(__xludf.DUMMYFUNCTION("""COMPUTED_VALUE"""),"")</f>
        <v/>
      </c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 t="str">
        <f>IFERROR(__xludf.DUMMYFUNCTION("""COMPUTED_VALUE"""),"")</f>
        <v/>
      </c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 t="str">
        <f>IFERROR(__xludf.DUMMYFUNCTION("""COMPUTED_VALUE"""),"")</f>
        <v/>
      </c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 t="str">
        <f>IFERROR(__xludf.DUMMYFUNCTION("""COMPUTED_VALUE"""),"")</f>
        <v/>
      </c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 t="str">
        <f>IFERROR(__xludf.DUMMYFUNCTION("""COMPUTED_VALUE"""),"")</f>
        <v/>
      </c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 t="str">
        <f>IFERROR(__xludf.DUMMYFUNCTION("""COMPUTED_VALUE"""),"")</f>
        <v/>
      </c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 t="str">
        <f>IFERROR(__xludf.DUMMYFUNCTION("""COMPUTED_VALUE"""),"")</f>
        <v/>
      </c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 t="str">
        <f>IFERROR(__xludf.DUMMYFUNCTION("""COMPUTED_VALUE"""),"")</f>
        <v/>
      </c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 t="str">
        <f>IFERROR(__xludf.DUMMYFUNCTION("""COMPUTED_VALUE"""),"")</f>
        <v/>
      </c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 t="str">
        <f>IFERROR(__xludf.DUMMYFUNCTION("""COMPUTED_VALUE"""),"")</f>
        <v/>
      </c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 t="str">
        <f>IFERROR(__xludf.DUMMYFUNCTION("""COMPUTED_VALUE"""),"")</f>
        <v/>
      </c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 t="str">
        <f>IFERROR(__xludf.DUMMYFUNCTION("""COMPUTED_VALUE"""),"")</f>
        <v/>
      </c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 t="str">
        <f>IFERROR(__xludf.DUMMYFUNCTION("""COMPUTED_VALUE"""),"")</f>
        <v/>
      </c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 t="str">
        <f>IFERROR(__xludf.DUMMYFUNCTION("""COMPUTED_VALUE"""),"")</f>
        <v/>
      </c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 t="str">
        <f>IFERROR(__xludf.DUMMYFUNCTION("""COMPUTED_VALUE"""),"")</f>
        <v/>
      </c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 t="str">
        <f>IFERROR(__xludf.DUMMYFUNCTION("""COMPUTED_VALUE"""),"")</f>
        <v/>
      </c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 t="str">
        <f>IFERROR(__xludf.DUMMYFUNCTION("""COMPUTED_VALUE"""),"")</f>
        <v/>
      </c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 t="str">
        <f>IFERROR(__xludf.DUMMYFUNCTION("""COMPUTED_VALUE"""),"")</f>
        <v/>
      </c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 t="str">
        <f>IFERROR(__xludf.DUMMYFUNCTION("""COMPUTED_VALUE"""),"")</f>
        <v/>
      </c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 t="str">
        <f>IFERROR(__xludf.DUMMYFUNCTION("""COMPUTED_VALUE"""),"")</f>
        <v/>
      </c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 t="str">
        <f>IFERROR(__xludf.DUMMYFUNCTION("""COMPUTED_VALUE"""),"")</f>
        <v/>
      </c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 t="str">
        <f>IFERROR(__xludf.DUMMYFUNCTION("""COMPUTED_VALUE"""),"")</f>
        <v/>
      </c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 t="str">
        <f>IFERROR(__xludf.DUMMYFUNCTION("""COMPUTED_VALUE"""),"")</f>
        <v/>
      </c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 t="str">
        <f>IFERROR(__xludf.DUMMYFUNCTION("""COMPUTED_VALUE"""),"")</f>
        <v/>
      </c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 t="str">
        <f>IFERROR(__xludf.DUMMYFUNCTION("""COMPUTED_VALUE"""),"")</f>
        <v/>
      </c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 t="str">
        <f>IFERROR(__xludf.DUMMYFUNCTION("""COMPUTED_VALUE"""),"")</f>
        <v/>
      </c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 t="str">
        <f>IFERROR(__xludf.DUMMYFUNCTION("""COMPUTED_VALUE"""),"")</f>
        <v/>
      </c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 t="str">
        <f>IFERROR(__xludf.DUMMYFUNCTION("""COMPUTED_VALUE"""),"")</f>
        <v/>
      </c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 t="str">
        <f>IFERROR(__xludf.DUMMYFUNCTION("""COMPUTED_VALUE"""),"")</f>
        <v/>
      </c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 t="str">
        <f>IFERROR(__xludf.DUMMYFUNCTION("""COMPUTED_VALUE"""),"")</f>
        <v/>
      </c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 t="str">
        <f>IFERROR(__xludf.DUMMYFUNCTION("""COMPUTED_VALUE"""),"")</f>
        <v/>
      </c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 t="str">
        <f>IFERROR(__xludf.DUMMYFUNCTION("""COMPUTED_VALUE"""),"")</f>
        <v/>
      </c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 t="str">
        <f>IFERROR(__xludf.DUMMYFUNCTION("""COMPUTED_VALUE"""),"")</f>
        <v/>
      </c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 t="str">
        <f>IFERROR(__xludf.DUMMYFUNCTION("""COMPUTED_VALUE"""),"")</f>
        <v/>
      </c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 t="str">
        <f>IFERROR(__xludf.DUMMYFUNCTION("""COMPUTED_VALUE"""),"")</f>
        <v/>
      </c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 t="str">
        <f>IFERROR(__xludf.DUMMYFUNCTION("""COMPUTED_VALUE"""),"")</f>
        <v/>
      </c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 t="str">
        <f>IFERROR(__xludf.DUMMYFUNCTION("""COMPUTED_VALUE"""),"")</f>
        <v/>
      </c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 t="str">
        <f>IFERROR(__xludf.DUMMYFUNCTION("""COMPUTED_VALUE"""),"")</f>
        <v/>
      </c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 t="str">
        <f>IFERROR(__xludf.DUMMYFUNCTION("""COMPUTED_VALUE"""),"")</f>
        <v/>
      </c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 t="str">
        <f>IFERROR(__xludf.DUMMYFUNCTION("""COMPUTED_VALUE"""),"")</f>
        <v/>
      </c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 t="str">
        <f>IFERROR(__xludf.DUMMYFUNCTION("""COMPUTED_VALUE"""),"")</f>
        <v/>
      </c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 t="str">
        <f>IFERROR(__xludf.DUMMYFUNCTION("""COMPUTED_VALUE"""),"")</f>
        <v/>
      </c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 t="str">
        <f>IFERROR(__xludf.DUMMYFUNCTION("""COMPUTED_VALUE"""),"")</f>
        <v/>
      </c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 t="str">
        <f>IFERROR(__xludf.DUMMYFUNCTION("""COMPUTED_VALUE"""),"")</f>
        <v/>
      </c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 t="str">
        <f>IFERROR(__xludf.DUMMYFUNCTION("""COMPUTED_VALUE"""),"")</f>
        <v/>
      </c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 t="str">
        <f>IFERROR(__xludf.DUMMYFUNCTION("""COMPUTED_VALUE"""),"")</f>
        <v/>
      </c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 t="str">
        <f>IFERROR(__xludf.DUMMYFUNCTION("""COMPUTED_VALUE"""),"")</f>
        <v/>
      </c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 t="str">
        <f>IFERROR(__xludf.DUMMYFUNCTION("""COMPUTED_VALUE"""),"")</f>
        <v/>
      </c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 t="str">
        <f>IFERROR(__xludf.DUMMYFUNCTION("""COMPUTED_VALUE"""),"")</f>
        <v/>
      </c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 t="str">
        <f>IFERROR(__xludf.DUMMYFUNCTION("""COMPUTED_VALUE"""),"")</f>
        <v/>
      </c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 t="str">
        <f>IFERROR(__xludf.DUMMYFUNCTION("""COMPUTED_VALUE"""),"")</f>
        <v/>
      </c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 t="str">
        <f>IFERROR(__xludf.DUMMYFUNCTION("""COMPUTED_VALUE"""),"")</f>
        <v/>
      </c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 t="str">
        <f>IFERROR(__xludf.DUMMYFUNCTION("""COMPUTED_VALUE"""),"")</f>
        <v/>
      </c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 t="str">
        <f>IFERROR(__xludf.DUMMYFUNCTION("""COMPUTED_VALUE"""),"")</f>
        <v/>
      </c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 t="str">
        <f>IFERROR(__xludf.DUMMYFUNCTION("""COMPUTED_VALUE"""),"")</f>
        <v/>
      </c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 t="str">
        <f>IFERROR(__xludf.DUMMYFUNCTION("""COMPUTED_VALUE"""),"")</f>
        <v/>
      </c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 t="str">
        <f>IFERROR(__xludf.DUMMYFUNCTION("""COMPUTED_VALUE"""),"")</f>
        <v/>
      </c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 t="str">
        <f>IFERROR(__xludf.DUMMYFUNCTION("""COMPUTED_VALUE"""),"")</f>
        <v/>
      </c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 t="str">
        <f>IFERROR(__xludf.DUMMYFUNCTION("""COMPUTED_VALUE"""),"")</f>
        <v/>
      </c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 t="str">
        <f>IFERROR(__xludf.DUMMYFUNCTION("""COMPUTED_VALUE"""),"")</f>
        <v/>
      </c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 t="str">
        <f>IFERROR(__xludf.DUMMYFUNCTION("""COMPUTED_VALUE"""),"")</f>
        <v/>
      </c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 t="str">
        <f>IFERROR(__xludf.DUMMYFUNCTION("""COMPUTED_VALUE"""),"")</f>
        <v/>
      </c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 t="str">
        <f>IFERROR(__xludf.DUMMYFUNCTION("""COMPUTED_VALUE"""),"")</f>
        <v/>
      </c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 t="str">
        <f>IFERROR(__xludf.DUMMYFUNCTION("""COMPUTED_VALUE"""),"")</f>
        <v/>
      </c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 t="str">
        <f>IFERROR(__xludf.DUMMYFUNCTION("""COMPUTED_VALUE"""),"")</f>
        <v/>
      </c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 t="str">
        <f>IFERROR(__xludf.DUMMYFUNCTION("""COMPUTED_VALUE"""),"")</f>
        <v/>
      </c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 t="str">
        <f>IFERROR(__xludf.DUMMYFUNCTION("""COMPUTED_VALUE"""),"")</f>
        <v/>
      </c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 t="str">
        <f>IFERROR(__xludf.DUMMYFUNCTION("""COMPUTED_VALUE"""),"")</f>
        <v/>
      </c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 t="str">
        <f>IFERROR(__xludf.DUMMYFUNCTION("""COMPUTED_VALUE"""),"")</f>
        <v/>
      </c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 t="str">
        <f>IFERROR(__xludf.DUMMYFUNCTION("""COMPUTED_VALUE"""),"")</f>
        <v/>
      </c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 t="str">
        <f>IFERROR(__xludf.DUMMYFUNCTION("""COMPUTED_VALUE"""),"")</f>
        <v/>
      </c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 t="str">
        <f>IFERROR(__xludf.DUMMYFUNCTION("""COMPUTED_VALUE"""),"")</f>
        <v/>
      </c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 t="str">
        <f>IFERROR(__xludf.DUMMYFUNCTION("""COMPUTED_VALUE"""),"")</f>
        <v/>
      </c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 t="str">
        <f>IFERROR(__xludf.DUMMYFUNCTION("""COMPUTED_VALUE"""),"")</f>
        <v/>
      </c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 t="str">
        <f>IFERROR(__xludf.DUMMYFUNCTION("""COMPUTED_VALUE"""),"")</f>
        <v/>
      </c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 t="str">
        <f>IFERROR(__xludf.DUMMYFUNCTION("""COMPUTED_VALUE"""),"")</f>
        <v/>
      </c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 t="str">
        <f>IFERROR(__xludf.DUMMYFUNCTION("""COMPUTED_VALUE"""),"")</f>
        <v/>
      </c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 t="str">
        <f>IFERROR(__xludf.DUMMYFUNCTION("""COMPUTED_VALUE"""),"")</f>
        <v/>
      </c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 t="str">
        <f>IFERROR(__xludf.DUMMYFUNCTION("""COMPUTED_VALUE"""),"")</f>
        <v/>
      </c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 t="str">
        <f>IFERROR(__xludf.DUMMYFUNCTION("""COMPUTED_VALUE"""),"")</f>
        <v/>
      </c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 t="str">
        <f>IFERROR(__xludf.DUMMYFUNCTION("""COMPUTED_VALUE"""),"")</f>
        <v/>
      </c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 t="str">
        <f>IFERROR(__xludf.DUMMYFUNCTION("""COMPUTED_VALUE"""),"")</f>
        <v/>
      </c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 t="str">
        <f>IFERROR(__xludf.DUMMYFUNCTION("""COMPUTED_VALUE"""),"")</f>
        <v/>
      </c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 t="str">
        <f>IFERROR(__xludf.DUMMYFUNCTION("""COMPUTED_VALUE"""),"")</f>
        <v/>
      </c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 t="str">
        <f>IFERROR(__xludf.DUMMYFUNCTION("""COMPUTED_VALUE"""),"")</f>
        <v/>
      </c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 t="str">
        <f>IFERROR(__xludf.DUMMYFUNCTION("""COMPUTED_VALUE"""),"")</f>
        <v/>
      </c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 t="str">
        <f>IFERROR(__xludf.DUMMYFUNCTION("""COMPUTED_VALUE"""),"")</f>
        <v/>
      </c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 t="str">
        <f>IFERROR(__xludf.DUMMYFUNCTION("""COMPUTED_VALUE"""),"")</f>
        <v/>
      </c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 t="str">
        <f>IFERROR(__xludf.DUMMYFUNCTION("""COMPUTED_VALUE"""),"")</f>
        <v/>
      </c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 t="str">
        <f>IFERROR(__xludf.DUMMYFUNCTION("""COMPUTED_VALUE"""),"")</f>
        <v/>
      </c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 t="str">
        <f>IFERROR(__xludf.DUMMYFUNCTION("""COMPUTED_VALUE"""),"")</f>
        <v/>
      </c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 t="str">
        <f>IFERROR(__xludf.DUMMYFUNCTION("""COMPUTED_VALUE"""),"")</f>
        <v/>
      </c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 t="str">
        <f>IFERROR(__xludf.DUMMYFUNCTION("""COMPUTED_VALUE"""),"")</f>
        <v/>
      </c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 t="str">
        <f>IFERROR(__xludf.DUMMYFUNCTION("""COMPUTED_VALUE"""),"")</f>
        <v/>
      </c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 t="str">
        <f>IFERROR(__xludf.DUMMYFUNCTION("""COMPUTED_VALUE"""),"")</f>
        <v/>
      </c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 t="str">
        <f>IFERROR(__xludf.DUMMYFUNCTION("""COMPUTED_VALUE"""),"")</f>
        <v/>
      </c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 t="str">
        <f>IFERROR(__xludf.DUMMYFUNCTION("""COMPUTED_VALUE"""),"")</f>
        <v/>
      </c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 t="str">
        <f>IFERROR(__xludf.DUMMYFUNCTION("""COMPUTED_VALUE"""),"")</f>
        <v/>
      </c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 t="str">
        <f>IFERROR(__xludf.DUMMYFUNCTION("""COMPUTED_VALUE"""),"")</f>
        <v/>
      </c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 t="str">
        <f>IFERROR(__xludf.DUMMYFUNCTION("""COMPUTED_VALUE"""),"")</f>
        <v/>
      </c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 t="str">
        <f>IFERROR(__xludf.DUMMYFUNCTION("""COMPUTED_VALUE"""),"")</f>
        <v/>
      </c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 t="str">
        <f>IFERROR(__xludf.DUMMYFUNCTION("""COMPUTED_VALUE"""),"")</f>
        <v/>
      </c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 t="str">
        <f>IFERROR(__xludf.DUMMYFUNCTION("""COMPUTED_VALUE"""),"")</f>
        <v/>
      </c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 t="str">
        <f>IFERROR(__xludf.DUMMYFUNCTION("""COMPUTED_VALUE"""),"")</f>
        <v/>
      </c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 t="str">
        <f>IFERROR(__xludf.DUMMYFUNCTION("""COMPUTED_VALUE"""),"")</f>
        <v/>
      </c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 t="str">
        <f>IFERROR(__xludf.DUMMYFUNCTION("""COMPUTED_VALUE"""),"")</f>
        <v/>
      </c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 t="str">
        <f>IFERROR(__xludf.DUMMYFUNCTION("""COMPUTED_VALUE"""),"")</f>
        <v/>
      </c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 t="str">
        <f>IFERROR(__xludf.DUMMYFUNCTION("""COMPUTED_VALUE"""),"")</f>
        <v/>
      </c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 t="str">
        <f>IFERROR(__xludf.DUMMYFUNCTION("""COMPUTED_VALUE"""),"")</f>
        <v/>
      </c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 t="str">
        <f>IFERROR(__xludf.DUMMYFUNCTION("""COMPUTED_VALUE"""),"")</f>
        <v/>
      </c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 t="str">
        <f>IFERROR(__xludf.DUMMYFUNCTION("""COMPUTED_VALUE"""),"")</f>
        <v/>
      </c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 t="str">
        <f>IFERROR(__xludf.DUMMYFUNCTION("""COMPUTED_VALUE"""),"")</f>
        <v/>
      </c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 t="str">
        <f>IFERROR(__xludf.DUMMYFUNCTION("""COMPUTED_VALUE"""),"")</f>
        <v/>
      </c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 t="str">
        <f>IFERROR(__xludf.DUMMYFUNCTION("""COMPUTED_VALUE"""),"")</f>
        <v/>
      </c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 t="str">
        <f>IFERROR(__xludf.DUMMYFUNCTION("""COMPUTED_VALUE"""),"")</f>
        <v/>
      </c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 t="str">
        <f>IFERROR(__xludf.DUMMYFUNCTION("""COMPUTED_VALUE"""),"")</f>
        <v/>
      </c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 t="str">
        <f>IFERROR(__xludf.DUMMYFUNCTION("""COMPUTED_VALUE"""),"")</f>
        <v/>
      </c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 t="str">
        <f>IFERROR(__xludf.DUMMYFUNCTION("""COMPUTED_VALUE"""),"")</f>
        <v/>
      </c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 t="str">
        <f>IFERROR(__xludf.DUMMYFUNCTION("""COMPUTED_VALUE"""),"")</f>
        <v/>
      </c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 t="str">
        <f>IFERROR(__xludf.DUMMYFUNCTION("""COMPUTED_VALUE"""),"")</f>
        <v/>
      </c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 t="str">
        <f>IFERROR(__xludf.DUMMYFUNCTION("""COMPUTED_VALUE"""),"")</f>
        <v/>
      </c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 t="str">
        <f>IFERROR(__xludf.DUMMYFUNCTION("""COMPUTED_VALUE"""),"")</f>
        <v/>
      </c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 t="str">
        <f>IFERROR(__xludf.DUMMYFUNCTION("""COMPUTED_VALUE"""),"")</f>
        <v/>
      </c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 t="str">
        <f>IFERROR(__xludf.DUMMYFUNCTION("""COMPUTED_VALUE"""),"")</f>
        <v/>
      </c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 t="str">
        <f>IFERROR(__xludf.DUMMYFUNCTION("""COMPUTED_VALUE"""),"")</f>
        <v/>
      </c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 t="str">
        <f>IFERROR(__xludf.DUMMYFUNCTION("""COMPUTED_VALUE"""),"")</f>
        <v/>
      </c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 t="str">
        <f>IFERROR(__xludf.DUMMYFUNCTION("""COMPUTED_VALUE"""),"")</f>
        <v/>
      </c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 t="str">
        <f>IFERROR(__xludf.DUMMYFUNCTION("""COMPUTED_VALUE"""),"")</f>
        <v/>
      </c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 t="str">
        <f>IFERROR(__xludf.DUMMYFUNCTION("""COMPUTED_VALUE"""),"")</f>
        <v/>
      </c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 t="str">
        <f>IFERROR(__xludf.DUMMYFUNCTION("""COMPUTED_VALUE"""),"")</f>
        <v/>
      </c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 t="str">
        <f>IFERROR(__xludf.DUMMYFUNCTION("""COMPUTED_VALUE"""),"")</f>
        <v/>
      </c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 t="str">
        <f>IFERROR(__xludf.DUMMYFUNCTION("""COMPUTED_VALUE"""),"")</f>
        <v/>
      </c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 t="str">
        <f>IFERROR(__xludf.DUMMYFUNCTION("""COMPUTED_VALUE"""),"")</f>
        <v/>
      </c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 t="str">
        <f>IFERROR(__xludf.DUMMYFUNCTION("""COMPUTED_VALUE"""),"")</f>
        <v/>
      </c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 t="str">
        <f>IFERROR(__xludf.DUMMYFUNCTION("""COMPUTED_VALUE"""),"")</f>
        <v/>
      </c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 t="str">
        <f>IFERROR(__xludf.DUMMYFUNCTION("""COMPUTED_VALUE"""),"")</f>
        <v/>
      </c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 t="str">
        <f>IFERROR(__xludf.DUMMYFUNCTION("""COMPUTED_VALUE"""),"")</f>
        <v/>
      </c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 t="str">
        <f>IFERROR(__xludf.DUMMYFUNCTION("""COMPUTED_VALUE"""),"")</f>
        <v/>
      </c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 t="str">
        <f>IFERROR(__xludf.DUMMYFUNCTION("""COMPUTED_VALUE"""),"")</f>
        <v/>
      </c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 t="str">
        <f>IFERROR(__xludf.DUMMYFUNCTION("""COMPUTED_VALUE"""),"")</f>
        <v/>
      </c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 t="str">
        <f>IFERROR(__xludf.DUMMYFUNCTION("""COMPUTED_VALUE"""),"")</f>
        <v/>
      </c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 t="str">
        <f>IFERROR(__xludf.DUMMYFUNCTION("""COMPUTED_VALUE"""),"")</f>
        <v/>
      </c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 t="str">
        <f>IFERROR(__xludf.DUMMYFUNCTION("""COMPUTED_VALUE"""),"")</f>
        <v/>
      </c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 t="str">
        <f>IFERROR(__xludf.DUMMYFUNCTION("""COMPUTED_VALUE"""),"")</f>
        <v/>
      </c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 t="str">
        <f>IFERROR(__xludf.DUMMYFUNCTION("""COMPUTED_VALUE"""),"")</f>
        <v/>
      </c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 t="str">
        <f>IFERROR(__xludf.DUMMYFUNCTION("""COMPUTED_VALUE"""),"")</f>
        <v/>
      </c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 t="str">
        <f>IFERROR(__xludf.DUMMYFUNCTION("""COMPUTED_VALUE"""),"")</f>
        <v/>
      </c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 t="str">
        <f>IFERROR(__xludf.DUMMYFUNCTION("""COMPUTED_VALUE"""),"")</f>
        <v/>
      </c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 t="str">
        <f>IFERROR(__xludf.DUMMYFUNCTION("""COMPUTED_VALUE"""),"")</f>
        <v/>
      </c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 t="str">
        <f>IFERROR(__xludf.DUMMYFUNCTION("""COMPUTED_VALUE"""),"")</f>
        <v/>
      </c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 t="str">
        <f>IFERROR(__xludf.DUMMYFUNCTION("""COMPUTED_VALUE"""),"")</f>
        <v/>
      </c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 t="str">
        <f>IFERROR(__xludf.DUMMYFUNCTION("""COMPUTED_VALUE"""),"")</f>
        <v/>
      </c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 t="str">
        <f>IFERROR(__xludf.DUMMYFUNCTION("""COMPUTED_VALUE"""),"")</f>
        <v/>
      </c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 t="str">
        <f>IFERROR(__xludf.DUMMYFUNCTION("""COMPUTED_VALUE"""),"")</f>
        <v/>
      </c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 t="str">
        <f>IFERROR(__xludf.DUMMYFUNCTION("""COMPUTED_VALUE"""),"")</f>
        <v/>
      </c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 t="str">
        <f>IFERROR(__xludf.DUMMYFUNCTION("""COMPUTED_VALUE"""),"")</f>
        <v/>
      </c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 t="str">
        <f>IFERROR(__xludf.DUMMYFUNCTION("""COMPUTED_VALUE"""),"")</f>
        <v/>
      </c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 t="str">
        <f>IFERROR(__xludf.DUMMYFUNCTION("""COMPUTED_VALUE"""),"")</f>
        <v/>
      </c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 t="str">
        <f>IFERROR(__xludf.DUMMYFUNCTION("""COMPUTED_VALUE"""),"")</f>
        <v/>
      </c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 t="str">
        <f>IFERROR(__xludf.DUMMYFUNCTION("""COMPUTED_VALUE"""),"")</f>
        <v/>
      </c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 t="str">
        <f>IFERROR(__xludf.DUMMYFUNCTION("""COMPUTED_VALUE"""),"")</f>
        <v/>
      </c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 t="str">
        <f>IFERROR(__xludf.DUMMYFUNCTION("""COMPUTED_VALUE"""),"")</f>
        <v/>
      </c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>
      <c r="A2001" s="7"/>
      <c r="B2001" s="7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>
      <c r="A2002" s="7"/>
      <c r="B2002" s="7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>
      <c r="A2003" s="7"/>
      <c r="B2003" s="7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>
      <c r="A2004" s="7"/>
      <c r="B2004" s="7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>
      <c r="A2005" s="7"/>
      <c r="B2005" s="7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>
      <c r="A2006" s="7"/>
      <c r="B2006" s="7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>
      <c r="A2007" s="7"/>
      <c r="B2007" s="7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>
      <c r="A2008" s="7"/>
      <c r="B2008" s="7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>
      <c r="A2009" s="7"/>
      <c r="B2009" s="7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>
      <c r="A2010" s="7"/>
      <c r="B2010" s="7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>
      <c r="A2011" s="7"/>
      <c r="B2011" s="7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>
      <c r="A2012" s="7"/>
      <c r="B2012" s="7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</row>
    <row r="2013">
      <c r="A2013" s="7"/>
      <c r="B2013" s="7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</row>
    <row r="2014">
      <c r="A2014" s="7"/>
      <c r="B2014" s="7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>
      <c r="A2015" s="7"/>
      <c r="B2015" s="7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>
      <c r="A2016" s="7"/>
      <c r="B2016" s="7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>
      <c r="A2017" s="7"/>
      <c r="B2017" s="7"/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>
      <c r="A2018" s="7"/>
      <c r="B2018" s="7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>
      <c r="A2019" s="7"/>
      <c r="B2019" s="7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>
      <c r="A2020" s="7"/>
      <c r="B2020" s="7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>
      <c r="A2021" s="7"/>
      <c r="B2021" s="7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>
      <c r="A2022" s="7"/>
      <c r="B2022" s="7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>
      <c r="A2023" s="7"/>
      <c r="B2023" s="7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>
      <c r="A2024" s="7"/>
      <c r="B2024" s="7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>
      <c r="A2025" s="7"/>
      <c r="B2025" s="7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>
      <c r="A2026" s="7"/>
      <c r="B2026" s="7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>
      <c r="A2027" s="7"/>
      <c r="B2027" s="7"/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</row>
    <row r="2028">
      <c r="A2028" s="7"/>
      <c r="B2028" s="7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>
      <c r="A2029" s="7"/>
      <c r="B2029" s="7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>
      <c r="A2030" s="7"/>
      <c r="B2030" s="7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>
      <c r="A2031" s="7"/>
      <c r="B2031" s="7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>
      <c r="A2032" s="7"/>
      <c r="B2032" s="7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>
      <c r="A2033" s="7"/>
      <c r="B2033" s="7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>
      <c r="A2034" s="7"/>
      <c r="B2034" s="7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</row>
    <row r="2035">
      <c r="A2035" s="7"/>
      <c r="B2035" s="7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>
      <c r="A2036" s="7"/>
      <c r="B2036" s="7"/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>
      <c r="A2037" s="7"/>
      <c r="B2037" s="7"/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>
      <c r="A2038" s="7"/>
      <c r="B2038" s="7"/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>
      <c r="A2039" s="7"/>
      <c r="B2039" s="7"/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>
      <c r="A2040" s="7"/>
      <c r="B2040" s="7"/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>
      <c r="A2041" s="7"/>
      <c r="B2041" s="7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>
      <c r="A2042" s="7"/>
      <c r="B2042" s="7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</row>
    <row r="2043">
      <c r="A2043" s="7"/>
      <c r="B2043" s="7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</row>
    <row r="2044">
      <c r="A2044" s="7"/>
      <c r="B2044" s="7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>
      <c r="A2045" s="7"/>
      <c r="B2045" s="7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>
      <c r="A2046" s="7"/>
      <c r="B2046" s="7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>
      <c r="A2047" s="7"/>
      <c r="B2047" s="7"/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>
      <c r="A2048" s="7"/>
      <c r="B2048" s="7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>
      <c r="A2049" s="7"/>
      <c r="B2049" s="7"/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</row>
    <row r="2050">
      <c r="A2050" s="7"/>
      <c r="B2050" s="7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>
      <c r="A2051" s="7"/>
      <c r="B2051" s="7"/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>
      <c r="A2052" s="7"/>
      <c r="B2052" s="7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>
      <c r="A2053" s="7"/>
      <c r="B2053" s="7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>
      <c r="A2054" s="7"/>
      <c r="B2054" s="7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</row>
    <row r="2055">
      <c r="A2055" s="7"/>
      <c r="B2055" s="7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>
      <c r="A2056" s="7"/>
      <c r="B2056" s="7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>
      <c r="A2057" s="7"/>
      <c r="B2057" s="7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>
      <c r="A2058" s="7"/>
      <c r="B2058" s="7"/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>
      <c r="A2059" s="7"/>
      <c r="B2059" s="7"/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>
      <c r="A2060" s="7"/>
      <c r="B2060" s="7"/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>
      <c r="A2061" s="7"/>
      <c r="B2061" s="7"/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>
      <c r="A2062" s="7"/>
      <c r="B2062" s="7"/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</row>
    <row r="2063">
      <c r="A2063" s="7"/>
      <c r="B2063" s="7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</row>
    <row r="2064">
      <c r="A2064" s="7"/>
      <c r="B2064" s="7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>
      <c r="A2065" s="7"/>
      <c r="B2065" s="7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>
      <c r="A2066" s="7"/>
      <c r="B2066" s="7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</row>
    <row r="2067">
      <c r="A2067" s="7"/>
      <c r="B2067" s="7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>
      <c r="A2068" s="7"/>
      <c r="B2068" s="7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>
      <c r="A2069" s="7"/>
      <c r="B2069" s="7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>
      <c r="A2070" s="7"/>
      <c r="B2070" s="7"/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>
      <c r="A2071" s="7"/>
      <c r="B2071" s="7"/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>
      <c r="A2072" s="7"/>
      <c r="B2072" s="7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>
      <c r="A2073" s="7"/>
      <c r="B2073" s="7"/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>
      <c r="A2074" s="7"/>
      <c r="B2074" s="7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>
      <c r="A2075" s="7"/>
      <c r="B2075" s="7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</row>
    <row r="2076">
      <c r="A2076" s="7"/>
      <c r="B2076" s="7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>
      <c r="A2077" s="7"/>
      <c r="B2077" s="7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</row>
    <row r="2078">
      <c r="A2078" s="7"/>
      <c r="B2078" s="7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>
      <c r="A2079" s="7"/>
      <c r="B2079" s="7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>
      <c r="A2080" s="7"/>
      <c r="B2080" s="7"/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>
      <c r="A2081" s="7"/>
      <c r="B2081" s="7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>
      <c r="A2082" s="7"/>
      <c r="B2082" s="7"/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>
      <c r="A2083" s="7"/>
      <c r="B2083" s="7"/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</row>
    <row r="2084">
      <c r="A2084" s="7"/>
      <c r="B2084" s="7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>
      <c r="A2085" s="7"/>
      <c r="B2085" s="7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>
      <c r="A2086" s="7"/>
      <c r="B2086" s="7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>
      <c r="A2087" s="7"/>
      <c r="B2087" s="7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>
      <c r="A2088" s="7"/>
      <c r="B2088" s="7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>
      <c r="A2089" s="7"/>
      <c r="B2089" s="7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>
      <c r="A2090" s="7"/>
      <c r="B2090" s="7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>
      <c r="A2091" s="7"/>
      <c r="B2091" s="7"/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>
      <c r="A2092" s="7"/>
      <c r="B2092" s="7"/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>
      <c r="A2093" s="7"/>
      <c r="B2093" s="7"/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>
      <c r="A2094" s="7"/>
      <c r="B2094" s="7"/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</row>
    <row r="2095">
      <c r="A2095" s="7"/>
      <c r="B2095" s="7"/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</row>
    <row r="2096">
      <c r="A2096" s="7"/>
      <c r="B2096" s="7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</row>
    <row r="2097">
      <c r="A2097" s="7"/>
      <c r="B2097" s="7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>
      <c r="A2098" s="7"/>
      <c r="B2098" s="7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>
      <c r="A2099" s="7"/>
      <c r="B2099" s="7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>
      <c r="A2100" s="7"/>
      <c r="B2100" s="7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>
      <c r="A2101" s="7"/>
      <c r="B2101" s="7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>
      <c r="A2102" s="7"/>
      <c r="B2102" s="7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>
      <c r="A2103" s="7"/>
      <c r="B2103" s="7"/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</row>
    <row r="2104">
      <c r="A2104" s="7"/>
      <c r="B2104" s="7"/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</row>
    <row r="2105">
      <c r="A2105" s="7"/>
      <c r="B2105" s="7"/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>
      <c r="A2106" s="7"/>
      <c r="B2106" s="7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>
      <c r="A2107" s="7"/>
      <c r="B2107" s="7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>
      <c r="A2108" s="7"/>
      <c r="B2108" s="7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</row>
    <row r="2109">
      <c r="A2109" s="7"/>
      <c r="B2109" s="7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>
      <c r="A2110" s="7"/>
      <c r="B2110" s="7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</row>
    <row r="2111">
      <c r="A2111" s="7"/>
      <c r="B2111" s="7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>
      <c r="A2112" s="7"/>
      <c r="B2112" s="7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>
      <c r="A2113" s="7"/>
      <c r="B2113" s="7"/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</row>
    <row r="2114">
      <c r="A2114" s="7"/>
      <c r="B2114" s="7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>
      <c r="A2115" s="7"/>
      <c r="B2115" s="7"/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>
      <c r="A2116" s="7"/>
      <c r="B2116" s="7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>
      <c r="A2117" s="7"/>
      <c r="B2117" s="7"/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>
      <c r="A2118" s="7"/>
      <c r="B2118" s="7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>
      <c r="A2119" s="7"/>
      <c r="B2119" s="7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</row>
    <row r="2120">
      <c r="A2120" s="7"/>
      <c r="B2120" s="7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>
      <c r="A2121" s="7"/>
      <c r="B2121" s="7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</row>
    <row r="2122">
      <c r="A2122" s="7"/>
      <c r="B2122" s="7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>
      <c r="A2123" s="7"/>
      <c r="B2123" s="7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>
      <c r="A2124" s="7"/>
      <c r="B2124" s="7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</row>
    <row r="2125">
      <c r="A2125" s="7"/>
      <c r="B2125" s="7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>
      <c r="A2126" s="7"/>
      <c r="B2126" s="7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</row>
    <row r="2127">
      <c r="A2127" s="7"/>
      <c r="B2127" s="7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</row>
    <row r="2128">
      <c r="A2128" s="7"/>
      <c r="B2128" s="7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>
      <c r="A2129" s="7"/>
      <c r="B2129" s="7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>
      <c r="A2130" s="7"/>
      <c r="B2130" s="7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</row>
    <row r="2131">
      <c r="A2131" s="7"/>
      <c r="B2131" s="7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>
      <c r="A2132" s="7"/>
      <c r="B2132" s="7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>
      <c r="A2133" s="7"/>
      <c r="B2133" s="7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</row>
    <row r="2134">
      <c r="A2134" s="7"/>
      <c r="B2134" s="7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>
      <c r="A2135" s="7"/>
      <c r="B2135" s="7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>
      <c r="A2136" s="7"/>
      <c r="B2136" s="7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>
      <c r="A2137" s="7"/>
      <c r="B2137" s="7"/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>
      <c r="A2138" s="7"/>
      <c r="B2138" s="7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>
      <c r="A2139" s="7"/>
      <c r="B2139" s="7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>
      <c r="A2140" s="7"/>
      <c r="B2140" s="7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>
      <c r="A2141" s="7"/>
      <c r="B2141" s="7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>
      <c r="A2142" s="7"/>
      <c r="B2142" s="7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>
      <c r="A2143" s="7"/>
      <c r="B2143" s="7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>
      <c r="A2144" s="7"/>
      <c r="B2144" s="7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>
      <c r="A2145" s="7"/>
      <c r="B2145" s="7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>
      <c r="A2146" s="7"/>
      <c r="B2146" s="7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>
      <c r="A2147" s="7"/>
      <c r="B2147" s="7"/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>
      <c r="A2148" s="7"/>
      <c r="B2148" s="7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>
      <c r="A2149" s="7"/>
      <c r="B2149" s="7"/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</row>
    <row r="2150">
      <c r="A2150" s="7"/>
      <c r="B2150" s="7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>
      <c r="A2151" s="7"/>
      <c r="B2151" s="7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>
      <c r="A2152" s="7"/>
      <c r="B2152" s="7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</row>
    <row r="2153">
      <c r="A2153" s="7"/>
      <c r="B2153" s="7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>
      <c r="A2154" s="7"/>
      <c r="B2154" s="7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>
      <c r="A2155" s="7"/>
      <c r="B2155" s="7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>
      <c r="A2156" s="7"/>
      <c r="B2156" s="7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>
      <c r="A2157" s="7"/>
      <c r="B2157" s="7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</row>
    <row r="2158">
      <c r="A2158" s="7"/>
      <c r="B2158" s="7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>
      <c r="A2159" s="7"/>
      <c r="B2159" s="7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>
      <c r="A2160" s="7"/>
      <c r="B2160" s="7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>
      <c r="A2161" s="7"/>
      <c r="B2161" s="7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</row>
    <row r="2162">
      <c r="A2162" s="7"/>
      <c r="B2162" s="7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>
      <c r="A2163" s="7"/>
      <c r="B2163" s="7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</row>
    <row r="2164">
      <c r="A2164" s="7"/>
      <c r="B2164" s="7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>
      <c r="A2165" s="7"/>
      <c r="B2165" s="7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>
      <c r="A2166" s="7"/>
      <c r="B2166" s="7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</row>
    <row r="2167">
      <c r="A2167" s="7"/>
      <c r="B2167" s="7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>
      <c r="A2168" s="7"/>
      <c r="B2168" s="7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>
      <c r="A2169" s="7"/>
      <c r="B2169" s="7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>
      <c r="A2170" s="7"/>
      <c r="B2170" s="7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>
      <c r="A2171" s="7"/>
      <c r="B2171" s="7"/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>
      <c r="A2172" s="7"/>
      <c r="B2172" s="7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>
      <c r="A2173" s="7"/>
      <c r="B2173" s="7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>
      <c r="A2174" s="7"/>
      <c r="B2174" s="7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</row>
    <row r="2175">
      <c r="A2175" s="7"/>
      <c r="B2175" s="7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>
      <c r="A2176" s="7"/>
      <c r="B2176" s="7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>
      <c r="A2177" s="7"/>
      <c r="B2177" s="7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</row>
    <row r="2178">
      <c r="A2178" s="7"/>
      <c r="B2178" s="7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>
      <c r="A2179" s="7"/>
      <c r="B2179" s="7"/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>
      <c r="A2180" s="7"/>
      <c r="B2180" s="7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>
      <c r="A2181" s="7"/>
      <c r="B2181" s="7"/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>
      <c r="A2182" s="7"/>
      <c r="B2182" s="7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>
      <c r="A2183" s="7"/>
      <c r="B2183" s="7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>
      <c r="A2184" s="7"/>
      <c r="B2184" s="7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>
      <c r="A2185" s="7"/>
      <c r="B2185" s="7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>
      <c r="A2186" s="7"/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>
      <c r="A2187" s="7"/>
      <c r="B2187" s="7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>
      <c r="A2188" s="7"/>
      <c r="B2188" s="7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>
      <c r="A2189" s="7"/>
      <c r="B2189" s="7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>
      <c r="A2190" s="7"/>
      <c r="B2190" s="7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>
      <c r="A2191" s="7"/>
      <c r="B2191" s="7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>
      <c r="A2192" s="7"/>
      <c r="B2192" s="7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>
      <c r="A2193" s="7"/>
      <c r="B2193" s="7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>
      <c r="A2194" s="7"/>
      <c r="B2194" s="7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>
      <c r="A2195" s="7"/>
      <c r="B2195" s="7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</row>
    <row r="2196">
      <c r="A2196" s="7"/>
      <c r="B2196" s="7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</row>
    <row r="2197">
      <c r="A2197" s="7"/>
      <c r="B2197" s="7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>
      <c r="A2198" s="7"/>
      <c r="B2198" s="7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>
      <c r="A2199" s="7"/>
      <c r="B2199" s="7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</row>
    <row r="2200">
      <c r="A2200" s="7"/>
      <c r="B2200" s="7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>
      <c r="A2201" s="7"/>
      <c r="B2201" s="7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>
      <c r="A2202" s="7"/>
      <c r="B2202" s="7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>
      <c r="A2203" s="7"/>
      <c r="B2203" s="7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>
      <c r="A2204" s="7"/>
      <c r="B2204" s="7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>
      <c r="A2205" s="7"/>
      <c r="B2205" s="7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>
      <c r="A2206" s="7"/>
      <c r="B2206" s="7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</row>
    <row r="2207">
      <c r="A2207" s="7"/>
      <c r="B2207" s="7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>
      <c r="A2208" s="7"/>
      <c r="B2208" s="7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>
      <c r="A2209" s="7"/>
      <c r="B2209" s="7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</row>
    <row r="2210">
      <c r="A2210" s="7"/>
      <c r="B2210" s="7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>
      <c r="A2211" s="7"/>
      <c r="B2211" s="7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>
      <c r="A2212" s="7"/>
      <c r="B2212" s="7"/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>
      <c r="A2213" s="7"/>
      <c r="B2213" s="7"/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>
      <c r="A2214" s="7"/>
      <c r="B2214" s="7"/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>
      <c r="A2215" s="7"/>
      <c r="B2215" s="7"/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>
      <c r="A2216" s="7"/>
      <c r="B2216" s="7"/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>
      <c r="A2217" s="7"/>
      <c r="B2217" s="7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>
      <c r="A2218" s="7"/>
      <c r="B2218" s="7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>
      <c r="A2219" s="7"/>
      <c r="B2219" s="7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>
      <c r="A2220" s="7"/>
      <c r="B2220" s="7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</row>
    <row r="2221">
      <c r="A2221" s="7"/>
      <c r="B2221" s="7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>
      <c r="A2222" s="7"/>
      <c r="B2222" s="7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>
      <c r="A2223" s="7"/>
      <c r="B2223" s="7"/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>
      <c r="A2224" s="7"/>
      <c r="B2224" s="7"/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>
      <c r="A2225" s="7"/>
      <c r="B2225" s="7"/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>
      <c r="A2226" s="7"/>
      <c r="B2226" s="7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>
      <c r="A2227" s="7"/>
      <c r="B2227" s="7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>
      <c r="A2228" s="7"/>
      <c r="B2228" s="7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>
      <c r="A2229" s="7"/>
      <c r="B2229" s="7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>
      <c r="A2230" s="7"/>
      <c r="B2230" s="7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>
      <c r="A2231" s="7"/>
      <c r="B2231" s="7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>
      <c r="A2232" s="7"/>
      <c r="B2232" s="7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>
      <c r="A2233" s="7"/>
      <c r="B2233" s="7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>
      <c r="A2234" s="7"/>
      <c r="B2234" s="7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>
      <c r="A2235" s="7"/>
      <c r="B2235" s="7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>
      <c r="A2236" s="7"/>
      <c r="B2236" s="7"/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</row>
    <row r="2237">
      <c r="A2237" s="7"/>
      <c r="B2237" s="7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</row>
    <row r="2238">
      <c r="A2238" s="7"/>
      <c r="B2238" s="7"/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>
      <c r="A2239" s="7"/>
      <c r="B2239" s="7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>
      <c r="A2240" s="7"/>
      <c r="B2240" s="7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>
      <c r="A2241" s="7"/>
      <c r="B2241" s="7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>
      <c r="A2242" s="7"/>
      <c r="B2242" s="7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>
      <c r="A2243" s="7"/>
      <c r="B2243" s="7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>
      <c r="A2244" s="7"/>
      <c r="B2244" s="7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>
      <c r="A2245" s="7"/>
      <c r="B2245" s="7"/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</row>
    <row r="2246">
      <c r="A2246" s="7"/>
      <c r="B2246" s="7"/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>
      <c r="A2247" s="7"/>
      <c r="B2247" s="7"/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</row>
    <row r="2248">
      <c r="A2248" s="7"/>
      <c r="B2248" s="7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</row>
    <row r="2249">
      <c r="A2249" s="7"/>
      <c r="B2249" s="7"/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>
      <c r="A2250" s="7"/>
      <c r="B2250" s="7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>
      <c r="A2251" s="7"/>
      <c r="B2251" s="7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</row>
    <row r="2252">
      <c r="A2252" s="7"/>
      <c r="B2252" s="7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>
      <c r="A2253" s="7"/>
      <c r="B2253" s="7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</row>
    <row r="2254">
      <c r="A2254" s="7"/>
      <c r="B2254" s="7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</row>
    <row r="2255">
      <c r="A2255" s="7"/>
      <c r="B2255" s="7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</row>
    <row r="2256">
      <c r="A2256" s="7"/>
      <c r="B2256" s="7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>
      <c r="A2257" s="7"/>
      <c r="B2257" s="7"/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>
      <c r="A2258" s="7"/>
      <c r="B2258" s="7"/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>
      <c r="A2259" s="7"/>
      <c r="B2259" s="7"/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>
      <c r="A2260" s="7"/>
      <c r="B2260" s="7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>
      <c r="A2261" s="7"/>
      <c r="B2261" s="7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>
      <c r="A2262" s="7"/>
      <c r="B2262" s="7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>
      <c r="A2263" s="7"/>
      <c r="B2263" s="7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>
      <c r="A2264" s="7"/>
      <c r="B2264" s="7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>
      <c r="A2265" s="7"/>
      <c r="B2265" s="7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>
      <c r="A2266" s="7"/>
      <c r="B2266" s="7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>
      <c r="A2267" s="7"/>
      <c r="B2267" s="7"/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>
      <c r="A2268" s="7"/>
      <c r="B2268" s="7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>
      <c r="A2269" s="7"/>
      <c r="B2269" s="7"/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</row>
    <row r="2270">
      <c r="A2270" s="7"/>
      <c r="B2270" s="7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>
      <c r="A2271" s="7"/>
      <c r="B2271" s="7"/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>
      <c r="A2272" s="7"/>
      <c r="B2272" s="7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>
      <c r="A2273" s="7"/>
      <c r="B2273" s="7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>
      <c r="A2274" s="7"/>
      <c r="B2274" s="7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>
      <c r="A2275" s="7"/>
      <c r="B2275" s="7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>
      <c r="A2276" s="7"/>
      <c r="B2276" s="7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>
      <c r="A2277" s="7"/>
      <c r="B2277" s="7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>
      <c r="A2278" s="7"/>
      <c r="B2278" s="7"/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>
      <c r="A2279" s="7"/>
      <c r="B2279" s="7"/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>
      <c r="A2280" s="7"/>
      <c r="B2280" s="7"/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>
      <c r="A2281" s="7"/>
      <c r="B2281" s="7"/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>
      <c r="A2282" s="7"/>
      <c r="B2282" s="7"/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>
      <c r="A2283" s="7"/>
      <c r="B2283" s="7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>
      <c r="A2284" s="7"/>
      <c r="B2284" s="7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>
      <c r="A2285" s="7"/>
      <c r="B2285" s="7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</row>
    <row r="2286">
      <c r="A2286" s="7"/>
      <c r="B2286" s="7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>
      <c r="A2287" s="7"/>
      <c r="B2287" s="7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>
      <c r="A2288" s="7"/>
      <c r="B2288" s="7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>
      <c r="A2289" s="7"/>
      <c r="B2289" s="7"/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>
      <c r="A2290" s="7"/>
      <c r="B2290" s="7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>
      <c r="A2291" s="7"/>
      <c r="B2291" s="7"/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>
      <c r="A2292" s="7"/>
      <c r="B2292" s="7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>
      <c r="A2293" s="7"/>
      <c r="B2293" s="7"/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>
      <c r="A2294" s="7"/>
      <c r="B2294" s="7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>
      <c r="A2295" s="7"/>
      <c r="B2295" s="7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>
      <c r="A2296" s="7"/>
      <c r="B2296" s="7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>
      <c r="A2297" s="7"/>
      <c r="B2297" s="7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</row>
    <row r="2298">
      <c r="A2298" s="7"/>
      <c r="B2298" s="7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>
      <c r="A2299" s="7"/>
      <c r="B2299" s="7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>
      <c r="A2300" s="7"/>
      <c r="B2300" s="7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</row>
    <row r="2301">
      <c r="A2301" s="7"/>
      <c r="B2301" s="7"/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</row>
    <row r="2302">
      <c r="A2302" s="7"/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</row>
    <row r="2303">
      <c r="A2303" s="7"/>
      <c r="B2303" s="7"/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>
      <c r="A2304" s="7"/>
      <c r="B2304" s="7"/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>
      <c r="A2305" s="7"/>
      <c r="B2305" s="7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>
      <c r="A2306" s="7"/>
      <c r="B2306" s="7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>
      <c r="A2307" s="7"/>
      <c r="B2307" s="7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</row>
    <row r="2308">
      <c r="A2308" s="7"/>
      <c r="B2308" s="7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</row>
    <row r="2309">
      <c r="A2309" s="7"/>
      <c r="B2309" s="7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</row>
    <row r="2310">
      <c r="A2310" s="7"/>
      <c r="B2310" s="7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</row>
    <row r="2311">
      <c r="A2311" s="7"/>
      <c r="B2311" s="7"/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</row>
    <row r="2312">
      <c r="A2312" s="7"/>
      <c r="B2312" s="7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</row>
    <row r="2313">
      <c r="A2313" s="7"/>
      <c r="B2313" s="7"/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</row>
    <row r="2314">
      <c r="A2314" s="7"/>
      <c r="B2314" s="7"/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</row>
    <row r="2315">
      <c r="A2315" s="7"/>
      <c r="B2315" s="7"/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</row>
    <row r="2316">
      <c r="A2316" s="7"/>
      <c r="B2316" s="7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</row>
    <row r="2317">
      <c r="A2317" s="7"/>
      <c r="B2317" s="7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</row>
    <row r="2318">
      <c r="A2318" s="7"/>
      <c r="B2318" s="7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</row>
    <row r="2319">
      <c r="A2319" s="7"/>
      <c r="B2319" s="7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</row>
    <row r="2320">
      <c r="A2320" s="7"/>
      <c r="B2320" s="7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</row>
    <row r="2321">
      <c r="A2321" s="7"/>
      <c r="B2321" s="7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</row>
    <row r="2322">
      <c r="A2322" s="7"/>
      <c r="B2322" s="7"/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</row>
    <row r="2323">
      <c r="A2323" s="7"/>
      <c r="B2323" s="7"/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</row>
    <row r="2324">
      <c r="A2324" s="7"/>
      <c r="B2324" s="7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</row>
    <row r="2325">
      <c r="A2325" s="7"/>
      <c r="B2325" s="7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</row>
    <row r="2326">
      <c r="A2326" s="7"/>
      <c r="B2326" s="7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</row>
    <row r="2327">
      <c r="A2327" s="7"/>
      <c r="B2327" s="7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</row>
    <row r="2328">
      <c r="A2328" s="7"/>
      <c r="B2328" s="7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</row>
    <row r="2329">
      <c r="A2329" s="7"/>
      <c r="B2329" s="7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</row>
    <row r="2330">
      <c r="A2330" s="7"/>
      <c r="B2330" s="7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</row>
    <row r="2331">
      <c r="A2331" s="7"/>
      <c r="B2331" s="7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</row>
    <row r="2332">
      <c r="A2332" s="7"/>
      <c r="B2332" s="7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>
      <c r="A2333" s="7"/>
      <c r="B2333" s="7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</row>
    <row r="2334">
      <c r="A2334" s="7"/>
      <c r="B2334" s="7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>
      <c r="A2335" s="7"/>
      <c r="B2335" s="7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</row>
    <row r="2336">
      <c r="A2336" s="7"/>
      <c r="B2336" s="7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</row>
    <row r="2337">
      <c r="A2337" s="7"/>
      <c r="B2337" s="7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>
      <c r="A2338" s="7"/>
      <c r="B2338" s="7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>
      <c r="A2339" s="7"/>
      <c r="B2339" s="7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</row>
    <row r="2340">
      <c r="A2340" s="7"/>
      <c r="B2340" s="7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</row>
    <row r="2341">
      <c r="A2341" s="7"/>
      <c r="B2341" s="7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</row>
    <row r="2342">
      <c r="A2342" s="7"/>
      <c r="B2342" s="7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</row>
    <row r="2343">
      <c r="A2343" s="7"/>
      <c r="B2343" s="7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</row>
    <row r="2344">
      <c r="A2344" s="7"/>
      <c r="B2344" s="7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</row>
    <row r="2345">
      <c r="A2345" s="7"/>
      <c r="B2345" s="7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</row>
    <row r="2346">
      <c r="A2346" s="7"/>
      <c r="B2346" s="7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</row>
    <row r="2347">
      <c r="A2347" s="7"/>
      <c r="B2347" s="7"/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</row>
    <row r="2348">
      <c r="A2348" s="7"/>
      <c r="B2348" s="7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</row>
    <row r="2349">
      <c r="A2349" s="7"/>
      <c r="B2349" s="7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</row>
    <row r="2350">
      <c r="A2350" s="7"/>
      <c r="B2350" s="7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</row>
    <row r="2351">
      <c r="A2351" s="7"/>
      <c r="B2351" s="7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</row>
    <row r="2352">
      <c r="A2352" s="7"/>
      <c r="B2352" s="7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>
      <c r="A2353" s="7"/>
      <c r="B2353" s="7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</row>
    <row r="2354">
      <c r="A2354" s="7"/>
      <c r="B2354" s="7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</row>
    <row r="2355">
      <c r="A2355" s="7"/>
      <c r="B2355" s="7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</row>
    <row r="2356">
      <c r="A2356" s="7"/>
      <c r="B2356" s="7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</row>
    <row r="2357">
      <c r="A2357" s="7"/>
      <c r="B2357" s="7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</row>
    <row r="2358">
      <c r="A2358" s="7"/>
      <c r="B2358" s="7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</row>
    <row r="2359">
      <c r="A2359" s="7"/>
      <c r="B2359" s="7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</row>
    <row r="2360">
      <c r="A2360" s="7"/>
      <c r="B2360" s="7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</row>
    <row r="2361">
      <c r="A2361" s="7"/>
      <c r="B2361" s="7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</row>
    <row r="2362">
      <c r="A2362" s="7"/>
      <c r="B2362" s="7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</row>
    <row r="2363">
      <c r="A2363" s="7"/>
      <c r="B2363" s="7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</row>
    <row r="2364">
      <c r="A2364" s="7"/>
      <c r="B2364" s="7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</row>
    <row r="2365">
      <c r="A2365" s="7"/>
      <c r="B2365" s="7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</row>
    <row r="2366">
      <c r="A2366" s="7"/>
      <c r="B2366" s="7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</row>
    <row r="2367">
      <c r="A2367" s="7"/>
      <c r="B2367" s="7"/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</row>
    <row r="2368">
      <c r="A2368" s="7"/>
      <c r="B2368" s="7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</row>
    <row r="2369">
      <c r="A2369" s="7"/>
      <c r="B2369" s="7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</row>
    <row r="2370">
      <c r="A2370" s="7"/>
      <c r="B2370" s="7"/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</row>
    <row r="2371">
      <c r="A2371" s="7"/>
      <c r="B2371" s="7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</row>
    <row r="2372">
      <c r="A2372" s="7"/>
      <c r="B2372" s="7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</row>
    <row r="2373">
      <c r="A2373" s="7"/>
      <c r="B2373" s="7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>
      <c r="A2374" s="7"/>
      <c r="B2374" s="7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</row>
    <row r="2375">
      <c r="A2375" s="7"/>
      <c r="B2375" s="7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</row>
    <row r="2376">
      <c r="A2376" s="7"/>
      <c r="B2376" s="7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</row>
    <row r="2377">
      <c r="A2377" s="7"/>
      <c r="B2377" s="7"/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</row>
    <row r="2378">
      <c r="A2378" s="7"/>
      <c r="B2378" s="7"/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</row>
    <row r="2379">
      <c r="A2379" s="7"/>
      <c r="B2379" s="7"/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</row>
    <row r="2380">
      <c r="A2380" s="7"/>
      <c r="B2380" s="7"/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</row>
    <row r="2381">
      <c r="A2381" s="7"/>
      <c r="B2381" s="7"/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</row>
    <row r="2382">
      <c r="A2382" s="7"/>
      <c r="B2382" s="7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</row>
    <row r="2383">
      <c r="A2383" s="7"/>
      <c r="B2383" s="7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</row>
    <row r="2384">
      <c r="A2384" s="7"/>
      <c r="B2384" s="7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</row>
    <row r="2385">
      <c r="A2385" s="7"/>
      <c r="B2385" s="7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</row>
    <row r="2386">
      <c r="A2386" s="7"/>
      <c r="B2386" s="7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</row>
    <row r="2387">
      <c r="A2387" s="7"/>
      <c r="B2387" s="7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</row>
    <row r="2388">
      <c r="A2388" s="7"/>
      <c r="B2388" s="7"/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</row>
    <row r="2389">
      <c r="A2389" s="7"/>
      <c r="B2389" s="7"/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</row>
    <row r="2390">
      <c r="A2390" s="7"/>
      <c r="B2390" s="7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</row>
    <row r="2391">
      <c r="A2391" s="7"/>
      <c r="B2391" s="7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</row>
    <row r="2392">
      <c r="A2392" s="7"/>
      <c r="B2392" s="7"/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</row>
    <row r="2393">
      <c r="A2393" s="7"/>
      <c r="B2393" s="7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</row>
    <row r="2394">
      <c r="A2394" s="7"/>
      <c r="B2394" s="7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</row>
    <row r="2395">
      <c r="A2395" s="7"/>
      <c r="B2395" s="7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</row>
    <row r="2396">
      <c r="A2396" s="7"/>
      <c r="B2396" s="7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</row>
    <row r="2397">
      <c r="A2397" s="7"/>
      <c r="B2397" s="7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</row>
    <row r="2398">
      <c r="A2398" s="7"/>
      <c r="B2398" s="7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</row>
    <row r="2399">
      <c r="A2399" s="7"/>
      <c r="B2399" s="7"/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</row>
    <row r="2400">
      <c r="A2400" s="7"/>
      <c r="B2400" s="7"/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</row>
    <row r="2401">
      <c r="A2401" s="7"/>
      <c r="B2401" s="7"/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</row>
    <row r="2402">
      <c r="A2402" s="7"/>
      <c r="B2402" s="7"/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</row>
    <row r="2403">
      <c r="A2403" s="7"/>
      <c r="B2403" s="7"/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</row>
    <row r="2404">
      <c r="A2404" s="7"/>
      <c r="B2404" s="7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</row>
    <row r="2405">
      <c r="A2405" s="7"/>
      <c r="B2405" s="7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</row>
    <row r="2406">
      <c r="A2406" s="7"/>
      <c r="B2406" s="7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</row>
    <row r="2407">
      <c r="A2407" s="7"/>
      <c r="B2407" s="7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</row>
    <row r="2408">
      <c r="A2408" s="7"/>
      <c r="B2408" s="7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</row>
    <row r="2409">
      <c r="A2409" s="7"/>
      <c r="B2409" s="7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</row>
    <row r="2410">
      <c r="A2410" s="7"/>
      <c r="B2410" s="7"/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</row>
    <row r="2411">
      <c r="A2411" s="7"/>
      <c r="B2411" s="7"/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>
      <c r="A2412" s="7"/>
      <c r="B2412" s="7"/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</row>
    <row r="2413">
      <c r="A2413" s="7"/>
      <c r="B2413" s="7"/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>
      <c r="A2414" s="7"/>
      <c r="B2414" s="7"/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>
      <c r="A2415" s="7"/>
      <c r="B2415" s="7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>
      <c r="A2416" s="7"/>
      <c r="B2416" s="7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</row>
    <row r="2417">
      <c r="A2417" s="7"/>
      <c r="B2417" s="7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>
      <c r="A2418" s="7"/>
      <c r="B2418" s="7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>
      <c r="A2419" s="7"/>
      <c r="B2419" s="7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</row>
    <row r="2420">
      <c r="A2420" s="7"/>
      <c r="B2420" s="7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</row>
    <row r="2421">
      <c r="A2421" s="7"/>
      <c r="B2421" s="7"/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</row>
    <row r="2422">
      <c r="A2422" s="7"/>
      <c r="B2422" s="7"/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</row>
    <row r="2423">
      <c r="A2423" s="7"/>
      <c r="B2423" s="7"/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</row>
    <row r="2424">
      <c r="A2424" s="7"/>
      <c r="B2424" s="7"/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</row>
    <row r="2425">
      <c r="A2425" s="7"/>
      <c r="B2425" s="7"/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</row>
    <row r="2426">
      <c r="A2426" s="7"/>
      <c r="B2426" s="7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</row>
    <row r="2427">
      <c r="A2427" s="7"/>
      <c r="B2427" s="7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</row>
    <row r="2428">
      <c r="A2428" s="7"/>
      <c r="B2428" s="7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</row>
    <row r="2429">
      <c r="A2429" s="7"/>
      <c r="B2429" s="7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>
      <c r="A2430" s="7"/>
      <c r="B2430" s="7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>
      <c r="A2431" s="7"/>
      <c r="B2431" s="7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</row>
    <row r="2432">
      <c r="A2432" s="7"/>
      <c r="B2432" s="7"/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</row>
    <row r="2433">
      <c r="A2433" s="7"/>
      <c r="B2433" s="7"/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</row>
    <row r="2434">
      <c r="A2434" s="7"/>
      <c r="B2434" s="7"/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</row>
    <row r="2435">
      <c r="A2435" s="7"/>
      <c r="B2435" s="7"/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</row>
    <row r="2436">
      <c r="A2436" s="7"/>
      <c r="B2436" s="7"/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</row>
    <row r="2437">
      <c r="A2437" s="7"/>
      <c r="B2437" s="7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</row>
    <row r="2438">
      <c r="A2438" s="7"/>
      <c r="B2438" s="7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</row>
    <row r="2439">
      <c r="A2439" s="7"/>
      <c r="B2439" s="7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</row>
    <row r="2440">
      <c r="A2440" s="7"/>
      <c r="B2440" s="7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</row>
    <row r="2441">
      <c r="A2441" s="7"/>
      <c r="B2441" s="7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</row>
    <row r="2442">
      <c r="A2442" s="7"/>
      <c r="B2442" s="7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</row>
    <row r="2443">
      <c r="A2443" s="7"/>
      <c r="B2443" s="7"/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</row>
    <row r="2444">
      <c r="A2444" s="7"/>
      <c r="B2444" s="7"/>
      <c r="C2444" s="7"/>
      <c r="D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</row>
    <row r="2445">
      <c r="A2445" s="7"/>
      <c r="B2445" s="7"/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</row>
    <row r="2446">
      <c r="A2446" s="7"/>
      <c r="B2446" s="7"/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</row>
    <row r="2447">
      <c r="A2447" s="7"/>
      <c r="B2447" s="7"/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</row>
    <row r="2448">
      <c r="A2448" s="7"/>
      <c r="B2448" s="7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</row>
    <row r="2449">
      <c r="A2449" s="7"/>
      <c r="B2449" s="7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</row>
    <row r="2450">
      <c r="A2450" s="7"/>
      <c r="B2450" s="7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</row>
    <row r="2451">
      <c r="A2451" s="7"/>
      <c r="B2451" s="7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</row>
    <row r="2452">
      <c r="A2452" s="7"/>
      <c r="B2452" s="7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</row>
    <row r="2453">
      <c r="A2453" s="7"/>
      <c r="B2453" s="7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</row>
    <row r="2454">
      <c r="A2454" s="7"/>
      <c r="B2454" s="7"/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</row>
    <row r="2455">
      <c r="A2455" s="7"/>
      <c r="B2455" s="7"/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</row>
    <row r="2456">
      <c r="A2456" s="7"/>
      <c r="B2456" s="7"/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</row>
    <row r="2457">
      <c r="A2457" s="7"/>
      <c r="B2457" s="7"/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</row>
    <row r="2458">
      <c r="A2458" s="7"/>
      <c r="B2458" s="7"/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</row>
    <row r="2459">
      <c r="A2459" s="7"/>
      <c r="B2459" s="7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</row>
    <row r="2460">
      <c r="A2460" s="7"/>
      <c r="B2460" s="7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</row>
    <row r="2461">
      <c r="A2461" s="7"/>
      <c r="B2461" s="7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</row>
    <row r="2462">
      <c r="A2462" s="7"/>
      <c r="B2462" s="7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</row>
    <row r="2463">
      <c r="A2463" s="7"/>
      <c r="B2463" s="7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</row>
    <row r="2464">
      <c r="A2464" s="7"/>
      <c r="B2464" s="7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</row>
    <row r="2465">
      <c r="A2465" s="7"/>
      <c r="B2465" s="7"/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</row>
    <row r="2466">
      <c r="A2466" s="7"/>
      <c r="B2466" s="7"/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</row>
    <row r="2467">
      <c r="A2467" s="7"/>
      <c r="B2467" s="7"/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</row>
    <row r="2468">
      <c r="A2468" s="7"/>
      <c r="B2468" s="7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</row>
    <row r="2469">
      <c r="A2469" s="7"/>
      <c r="B2469" s="7"/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</row>
    <row r="2470">
      <c r="A2470" s="7"/>
      <c r="B2470" s="7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</row>
    <row r="2471">
      <c r="A2471" s="7"/>
      <c r="B2471" s="7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</row>
    <row r="2472">
      <c r="A2472" s="7"/>
      <c r="B2472" s="7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</row>
    <row r="2473">
      <c r="A2473" s="7"/>
      <c r="B2473" s="7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</row>
    <row r="2474">
      <c r="A2474" s="7"/>
      <c r="B2474" s="7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</row>
    <row r="2475">
      <c r="A2475" s="7"/>
      <c r="B2475" s="7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</row>
    <row r="2476">
      <c r="A2476" s="7"/>
      <c r="B2476" s="7"/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</row>
    <row r="2477">
      <c r="A2477" s="7"/>
      <c r="B2477" s="7"/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</row>
    <row r="2478">
      <c r="A2478" s="7"/>
      <c r="B2478" s="7"/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>
      <c r="A2479" s="7"/>
      <c r="B2479" s="7"/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>
      <c r="A2480" s="7"/>
      <c r="B2480" s="7"/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</row>
    <row r="2481">
      <c r="A2481" s="7"/>
      <c r="B2481" s="7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</row>
    <row r="2482">
      <c r="A2482" s="7"/>
      <c r="B2482" s="7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</row>
    <row r="2483">
      <c r="A2483" s="7"/>
      <c r="B2483" s="7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</row>
    <row r="2484">
      <c r="A2484" s="7"/>
      <c r="B2484" s="7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>
      <c r="A2485" s="7"/>
      <c r="B2485" s="7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>
      <c r="A2486" s="7"/>
      <c r="B2486" s="7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</row>
    <row r="2487">
      <c r="A2487" s="7"/>
      <c r="B2487" s="7"/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>
      <c r="A2488" s="7"/>
      <c r="B2488" s="7"/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>
      <c r="A2489" s="7"/>
      <c r="B2489" s="7"/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>
      <c r="A2490" s="7"/>
      <c r="B2490" s="7"/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</row>
    <row r="2491">
      <c r="A2491" s="7"/>
      <c r="B2491" s="7"/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</row>
    <row r="2492">
      <c r="A2492" s="7"/>
      <c r="B2492" s="7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>
      <c r="A2493" s="7"/>
      <c r="B2493" s="7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>
      <c r="A2494" s="7"/>
      <c r="B2494" s="7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</row>
    <row r="2495">
      <c r="A2495" s="7"/>
      <c r="B2495" s="7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</row>
    <row r="2496">
      <c r="A2496" s="7"/>
      <c r="B2496" s="7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</row>
    <row r="2497">
      <c r="A2497" s="7"/>
      <c r="B2497" s="7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</row>
    <row r="2498">
      <c r="A2498" s="7"/>
      <c r="B2498" s="7"/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</row>
    <row r="2499">
      <c r="A2499" s="7"/>
      <c r="B2499" s="7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</row>
    <row r="2500">
      <c r="A2500" s="7"/>
      <c r="B2500" s="7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</row>
    <row r="2501">
      <c r="A2501" s="7"/>
      <c r="B2501" s="7"/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</row>
    <row r="2502">
      <c r="A2502" s="7"/>
      <c r="B2502" s="7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</row>
    <row r="2503">
      <c r="A2503" s="7"/>
      <c r="B2503" s="7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</row>
    <row r="2504">
      <c r="A2504" s="7"/>
      <c r="B2504" s="7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</row>
    <row r="2505">
      <c r="A2505" s="7"/>
      <c r="B2505" s="7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</row>
    <row r="2506">
      <c r="A2506" s="7"/>
      <c r="B2506" s="7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</row>
    <row r="2507">
      <c r="A2507" s="7"/>
      <c r="B2507" s="7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</row>
    <row r="2508">
      <c r="A2508" s="7"/>
      <c r="B2508" s="7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</row>
    <row r="2509">
      <c r="A2509" s="7"/>
      <c r="B2509" s="7"/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</row>
    <row r="2510">
      <c r="A2510" s="7"/>
      <c r="B2510" s="7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</row>
    <row r="2511">
      <c r="A2511" s="7"/>
      <c r="B2511" s="7"/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</row>
    <row r="2512">
      <c r="A2512" s="7"/>
      <c r="B2512" s="7"/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</row>
    <row r="2513">
      <c r="A2513" s="7"/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</row>
    <row r="2514">
      <c r="A2514" s="7"/>
      <c r="B2514" s="7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</row>
    <row r="2515">
      <c r="A2515" s="7"/>
      <c r="B2515" s="7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</row>
    <row r="2516">
      <c r="A2516" s="7"/>
      <c r="B2516" s="7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</row>
    <row r="2517">
      <c r="A2517" s="7"/>
      <c r="B2517" s="7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</row>
    <row r="2518">
      <c r="A2518" s="7"/>
      <c r="B2518" s="7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>
      <c r="A2519" s="7"/>
      <c r="B2519" s="7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>
      <c r="A2520" s="7"/>
      <c r="B2520" s="7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</row>
    <row r="2521">
      <c r="A2521" s="7"/>
      <c r="B2521" s="7"/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</row>
    <row r="2522">
      <c r="A2522" s="7"/>
      <c r="B2522" s="7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</row>
    <row r="2523">
      <c r="A2523" s="7"/>
      <c r="B2523" s="7"/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</row>
    <row r="2524">
      <c r="A2524" s="7"/>
      <c r="B2524" s="7"/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</row>
    <row r="2525">
      <c r="A2525" s="7"/>
      <c r="B2525" s="7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</row>
    <row r="2526">
      <c r="A2526" s="7"/>
      <c r="B2526" s="7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</row>
    <row r="2527">
      <c r="A2527" s="7"/>
      <c r="B2527" s="7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</row>
    <row r="2528">
      <c r="A2528" s="7"/>
      <c r="B2528" s="7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</row>
    <row r="2529">
      <c r="A2529" s="7"/>
      <c r="B2529" s="7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</row>
    <row r="2530">
      <c r="A2530" s="7"/>
      <c r="B2530" s="7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</row>
    <row r="2531">
      <c r="A2531" s="7"/>
      <c r="B2531" s="7"/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</row>
    <row r="2532">
      <c r="A2532" s="7"/>
      <c r="B2532" s="7"/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</row>
    <row r="2533">
      <c r="A2533" s="7"/>
      <c r="B2533" s="7"/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</row>
    <row r="2534">
      <c r="A2534" s="7"/>
      <c r="B2534" s="7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</row>
    <row r="2535">
      <c r="A2535" s="7"/>
      <c r="B2535" s="7"/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</row>
    <row r="2536">
      <c r="A2536" s="7"/>
      <c r="B2536" s="7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</row>
    <row r="2537">
      <c r="A2537" s="7"/>
      <c r="B2537" s="7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</row>
    <row r="2538">
      <c r="A2538" s="7"/>
      <c r="B2538" s="7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</row>
    <row r="2539">
      <c r="A2539" s="7"/>
      <c r="B2539" s="7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</row>
    <row r="2540">
      <c r="A2540" s="7"/>
      <c r="B2540" s="7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</row>
    <row r="2541">
      <c r="A2541" s="7"/>
      <c r="B2541" s="7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</row>
    <row r="2542">
      <c r="A2542" s="7"/>
      <c r="B2542" s="7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</row>
    <row r="2543">
      <c r="A2543" s="7"/>
      <c r="B2543" s="7"/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</row>
    <row r="2544">
      <c r="A2544" s="7"/>
      <c r="B2544" s="7"/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</row>
    <row r="2545">
      <c r="A2545" s="7"/>
      <c r="B2545" s="7"/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</row>
    <row r="2546">
      <c r="A2546" s="7"/>
      <c r="B2546" s="7"/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</row>
    <row r="2547">
      <c r="A2547" s="7"/>
      <c r="B2547" s="7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</row>
    <row r="2548">
      <c r="A2548" s="7"/>
      <c r="B2548" s="7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</row>
    <row r="2549">
      <c r="A2549" s="7"/>
      <c r="B2549" s="7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</row>
    <row r="2550">
      <c r="A2550" s="7"/>
      <c r="B2550" s="7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</row>
    <row r="2551">
      <c r="A2551" s="7"/>
      <c r="B2551" s="7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</row>
    <row r="2552">
      <c r="A2552" s="7"/>
      <c r="B2552" s="7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</row>
    <row r="2553">
      <c r="A2553" s="7"/>
      <c r="B2553" s="7"/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</row>
    <row r="2554">
      <c r="A2554" s="7"/>
      <c r="B2554" s="7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</row>
    <row r="2555">
      <c r="A2555" s="7"/>
      <c r="B2555" s="7"/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</row>
    <row r="2556">
      <c r="A2556" s="7"/>
      <c r="B2556" s="7"/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</row>
    <row r="2557">
      <c r="A2557" s="7"/>
      <c r="B2557" s="7"/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</row>
    <row r="2558">
      <c r="A2558" s="7"/>
      <c r="B2558" s="7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</row>
    <row r="2559">
      <c r="A2559" s="7"/>
      <c r="B2559" s="7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</row>
    <row r="2560">
      <c r="A2560" s="7"/>
      <c r="B2560" s="7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</row>
    <row r="2561">
      <c r="A2561" s="7"/>
      <c r="B2561" s="7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</row>
    <row r="2562">
      <c r="A2562" s="7"/>
      <c r="B2562" s="7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</row>
    <row r="2563">
      <c r="A2563" s="7"/>
      <c r="B2563" s="7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</row>
    <row r="2564">
      <c r="A2564" s="7"/>
      <c r="B2564" s="7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</row>
    <row r="2565">
      <c r="A2565" s="7"/>
      <c r="B2565" s="7"/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</row>
    <row r="2566">
      <c r="A2566" s="7"/>
      <c r="B2566" s="7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</row>
    <row r="2567">
      <c r="A2567" s="7"/>
      <c r="B2567" s="7"/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</row>
    <row r="2568">
      <c r="A2568" s="7"/>
      <c r="B2568" s="7"/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</row>
    <row r="2569">
      <c r="A2569" s="7"/>
      <c r="B2569" s="7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</row>
    <row r="2570">
      <c r="A2570" s="7"/>
      <c r="B2570" s="7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</row>
    <row r="2571">
      <c r="A2571" s="7"/>
      <c r="B2571" s="7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</row>
    <row r="2572">
      <c r="A2572" s="7"/>
      <c r="B2572" s="7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</row>
    <row r="2573">
      <c r="A2573" s="7"/>
      <c r="B2573" s="7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</row>
    <row r="2574">
      <c r="A2574" s="7"/>
      <c r="B2574" s="7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</row>
    <row r="2575">
      <c r="A2575" s="7"/>
      <c r="B2575" s="7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</row>
    <row r="2576">
      <c r="A2576" s="7"/>
      <c r="B2576" s="7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</row>
    <row r="2577">
      <c r="A2577" s="7"/>
      <c r="B2577" s="7"/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</row>
    <row r="2578">
      <c r="A2578" s="7"/>
      <c r="B2578" s="7"/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</row>
    <row r="2579">
      <c r="A2579" s="7"/>
      <c r="B2579" s="7"/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</row>
    <row r="2580">
      <c r="A2580" s="7"/>
      <c r="B2580" s="7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</row>
    <row r="2581">
      <c r="A2581" s="7"/>
      <c r="B2581" s="7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</row>
    <row r="2582">
      <c r="A2582" s="7"/>
      <c r="B2582" s="7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</row>
    <row r="2583">
      <c r="A2583" s="7"/>
      <c r="B2583" s="7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</row>
    <row r="2584">
      <c r="A2584" s="7"/>
      <c r="B2584" s="7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</row>
    <row r="2585">
      <c r="A2585" s="7"/>
      <c r="B2585" s="7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</row>
    <row r="2586">
      <c r="A2586" s="7"/>
      <c r="B2586" s="7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</row>
    <row r="2587">
      <c r="A2587" s="7"/>
      <c r="B2587" s="7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</row>
    <row r="2588">
      <c r="A2588" s="7"/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</row>
    <row r="2589">
      <c r="A2589" s="7"/>
      <c r="B2589" s="7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</row>
    <row r="2590">
      <c r="A2590" s="7"/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</row>
    <row r="2591">
      <c r="A2591" s="7"/>
      <c r="B2591" s="7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</row>
    <row r="2592">
      <c r="A2592" s="7"/>
      <c r="B2592" s="7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</row>
    <row r="2593">
      <c r="A2593" s="7"/>
      <c r="B2593" s="7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</row>
    <row r="2594">
      <c r="A2594" s="7"/>
      <c r="B2594" s="7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</row>
    <row r="2595">
      <c r="A2595" s="7"/>
      <c r="B2595" s="7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</row>
    <row r="2596">
      <c r="A2596" s="7"/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</row>
    <row r="2597">
      <c r="A2597" s="7"/>
      <c r="B2597" s="7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</row>
    <row r="2598">
      <c r="A2598" s="7"/>
      <c r="B2598" s="7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</row>
    <row r="2599">
      <c r="A2599" s="7"/>
      <c r="B2599" s="7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</row>
    <row r="2600">
      <c r="A2600" s="7"/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</row>
    <row r="2601">
      <c r="A2601" s="7"/>
      <c r="B2601" s="7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>
      <c r="A2602" s="7"/>
      <c r="B2602" s="7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</row>
    <row r="2603">
      <c r="A2603" s="7"/>
      <c r="B2603" s="7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</row>
    <row r="2604">
      <c r="A2604" s="7"/>
      <c r="B2604" s="7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</row>
    <row r="2605">
      <c r="A2605" s="7"/>
      <c r="B2605" s="7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</row>
    <row r="2606">
      <c r="A2606" s="7"/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</row>
    <row r="2607">
      <c r="A2607" s="7"/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</row>
    <row r="2608">
      <c r="A2608" s="7"/>
      <c r="B2608" s="7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</row>
    <row r="2609">
      <c r="A2609" s="7"/>
      <c r="B2609" s="7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</row>
    <row r="2610">
      <c r="A2610" s="7"/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</row>
    <row r="2611">
      <c r="A2611" s="7"/>
      <c r="B2611" s="7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</row>
    <row r="2612">
      <c r="A2612" s="7"/>
      <c r="B2612" s="7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</row>
    <row r="2613">
      <c r="A2613" s="7"/>
      <c r="B2613" s="7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</row>
    <row r="2614">
      <c r="A2614" s="7"/>
      <c r="B2614" s="7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</row>
    <row r="2615">
      <c r="A2615" s="7"/>
      <c r="B2615" s="7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</row>
    <row r="2616">
      <c r="A2616" s="7"/>
      <c r="B2616" s="7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</row>
    <row r="2617">
      <c r="A2617" s="7"/>
      <c r="B2617" s="7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</row>
    <row r="2618">
      <c r="A2618" s="7"/>
      <c r="B2618" s="7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</row>
    <row r="2619">
      <c r="A2619" s="7"/>
      <c r="B2619" s="7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</row>
    <row r="2620">
      <c r="A2620" s="7"/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</row>
    <row r="2621">
      <c r="A2621" s="7"/>
      <c r="B2621" s="7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</row>
    <row r="2622">
      <c r="A2622" s="7"/>
      <c r="B2622" s="7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</row>
    <row r="2623">
      <c r="A2623" s="7"/>
      <c r="B2623" s="7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</row>
    <row r="2624">
      <c r="A2624" s="7"/>
      <c r="B2624" s="7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</row>
    <row r="2625">
      <c r="A2625" s="7"/>
      <c r="B2625" s="7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</row>
    <row r="2626">
      <c r="A2626" s="7"/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</row>
    <row r="2627">
      <c r="A2627" s="7"/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</row>
    <row r="2628">
      <c r="A2628" s="7"/>
      <c r="B2628" s="7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</row>
    <row r="2629">
      <c r="A2629" s="7"/>
      <c r="B2629" s="7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</row>
    <row r="2630">
      <c r="A2630" s="7"/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</row>
    <row r="2631">
      <c r="A2631" s="7"/>
      <c r="B2631" s="7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</row>
    <row r="2632">
      <c r="A2632" s="7"/>
      <c r="B2632" s="7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</row>
    <row r="2633">
      <c r="A2633" s="7"/>
      <c r="B2633" s="7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</row>
    <row r="2634">
      <c r="A2634" s="7"/>
      <c r="B2634" s="7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</row>
    <row r="2635">
      <c r="A2635" s="7"/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</row>
    <row r="2636">
      <c r="A2636" s="7"/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</row>
    <row r="2637">
      <c r="A2637" s="7"/>
      <c r="B2637" s="7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</row>
    <row r="2638">
      <c r="A2638" s="7"/>
      <c r="B2638" s="7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</row>
    <row r="2639">
      <c r="A2639" s="7"/>
      <c r="B2639" s="7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</row>
    <row r="2640">
      <c r="A2640" s="7"/>
      <c r="B2640" s="7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</row>
    <row r="2641">
      <c r="A2641" s="7"/>
      <c r="B2641" s="7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</row>
    <row r="2642">
      <c r="A2642" s="7"/>
      <c r="B2642" s="7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</row>
    <row r="2643">
      <c r="A2643" s="7"/>
      <c r="B2643" s="7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</row>
    <row r="2644">
      <c r="A2644" s="7"/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</row>
    <row r="2645">
      <c r="A2645" s="7"/>
      <c r="B2645" s="7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</row>
    <row r="2646">
      <c r="A2646" s="7"/>
      <c r="B2646" s="7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</row>
    <row r="2647">
      <c r="A2647" s="7"/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</row>
    <row r="2648">
      <c r="A2648" s="7"/>
      <c r="B2648" s="7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</row>
    <row r="2649">
      <c r="A2649" s="7"/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</row>
    <row r="2650">
      <c r="A2650" s="7"/>
      <c r="B2650" s="7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</row>
    <row r="2651">
      <c r="A2651" s="7"/>
      <c r="B2651" s="7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</row>
    <row r="2652">
      <c r="A2652" s="7"/>
      <c r="B2652" s="7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</row>
    <row r="2653">
      <c r="A2653" s="7"/>
      <c r="B2653" s="7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</row>
    <row r="2654">
      <c r="A2654" s="7"/>
      <c r="B2654" s="7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</row>
    <row r="2655">
      <c r="A2655" s="7"/>
      <c r="B2655" s="7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</row>
    <row r="2656">
      <c r="A2656" s="7"/>
      <c r="B2656" s="7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</row>
    <row r="2657">
      <c r="A2657" s="7"/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</row>
    <row r="2658">
      <c r="A2658" s="7"/>
      <c r="B2658" s="7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</row>
    <row r="2659">
      <c r="A2659" s="7"/>
      <c r="B2659" s="7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</row>
    <row r="2660">
      <c r="A2660" s="7"/>
      <c r="B2660" s="7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</row>
    <row r="2661">
      <c r="A2661" s="7"/>
      <c r="B2661" s="7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</row>
    <row r="2662">
      <c r="A2662" s="7"/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</row>
    <row r="2663">
      <c r="A2663" s="7"/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</row>
    <row r="2664">
      <c r="A2664" s="7"/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</row>
    <row r="2665">
      <c r="A2665" s="7"/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</row>
    <row r="2666">
      <c r="A2666" s="7"/>
      <c r="B2666" s="7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</row>
    <row r="2667">
      <c r="A2667" s="7"/>
      <c r="B2667" s="7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</row>
    <row r="2668">
      <c r="A2668" s="7"/>
      <c r="B2668" s="7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</row>
    <row r="2669">
      <c r="A2669" s="7"/>
      <c r="B2669" s="7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</row>
    <row r="2670">
      <c r="A2670" s="7"/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</row>
    <row r="2671">
      <c r="A2671" s="7"/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</row>
    <row r="2672">
      <c r="A2672" s="7"/>
      <c r="B2672" s="7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</row>
    <row r="2673">
      <c r="A2673" s="7"/>
      <c r="B2673" s="7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</row>
    <row r="2674">
      <c r="A2674" s="7"/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</row>
    <row r="2675">
      <c r="A2675" s="7"/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</row>
    <row r="2676">
      <c r="A2676" s="7"/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</row>
    <row r="2677">
      <c r="A2677" s="7"/>
      <c r="B2677" s="7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</row>
    <row r="2678">
      <c r="A2678" s="7"/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</row>
    <row r="2679">
      <c r="A2679" s="7"/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</row>
    <row r="2680">
      <c r="A2680" s="7"/>
      <c r="B2680" s="7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</row>
    <row r="2681">
      <c r="A2681" s="7"/>
      <c r="B2681" s="7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</row>
    <row r="2682">
      <c r="A2682" s="7"/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</row>
    <row r="2683">
      <c r="A2683" s="7"/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</row>
    <row r="2684">
      <c r="A2684" s="7"/>
      <c r="B2684" s="7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</row>
    <row r="2685">
      <c r="A2685" s="7"/>
      <c r="B2685" s="7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</row>
    <row r="2686">
      <c r="A2686" s="7"/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</row>
    <row r="2687">
      <c r="A2687" s="7"/>
      <c r="B2687" s="7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</row>
    <row r="2688">
      <c r="A2688" s="7"/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</row>
    <row r="2689">
      <c r="A2689" s="7"/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</row>
    <row r="2690">
      <c r="A2690" s="7"/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</row>
    <row r="2691">
      <c r="A2691" s="7"/>
      <c r="B2691" s="7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</row>
    <row r="2692">
      <c r="A2692" s="7"/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</row>
    <row r="2693">
      <c r="A2693" s="7"/>
      <c r="B2693" s="7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</row>
    <row r="2694">
      <c r="A2694" s="7"/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</row>
    <row r="2695">
      <c r="A2695" s="7"/>
      <c r="B2695" s="7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</row>
    <row r="2696">
      <c r="A2696" s="7"/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</row>
    <row r="2697">
      <c r="A2697" s="7"/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</row>
    <row r="2698">
      <c r="A2698" s="7"/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</row>
    <row r="2699">
      <c r="A2699" s="7"/>
      <c r="B2699" s="7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</row>
    <row r="2700">
      <c r="A2700" s="7"/>
      <c r="B2700" s="7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</row>
    <row r="2701">
      <c r="A2701" s="7"/>
      <c r="B2701" s="7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>
      <c r="A2702" s="7"/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</row>
    <row r="2703">
      <c r="A2703" s="7"/>
      <c r="B2703" s="7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</row>
    <row r="2704">
      <c r="A2704" s="7"/>
      <c r="B2704" s="7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</row>
    <row r="2705">
      <c r="A2705" s="7"/>
      <c r="B2705" s="7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</row>
    <row r="2706">
      <c r="A2706" s="7"/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</row>
    <row r="2707">
      <c r="A2707" s="7"/>
      <c r="B2707" s="7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</row>
    <row r="2708">
      <c r="A2708" s="7"/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</row>
    <row r="2709">
      <c r="A2709" s="7"/>
      <c r="B2709" s="7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</row>
    <row r="2710">
      <c r="A2710" s="7"/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</row>
    <row r="2711">
      <c r="A2711" s="7"/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</row>
    <row r="2712">
      <c r="A2712" s="7"/>
      <c r="B2712" s="7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</row>
    <row r="2713">
      <c r="A2713" s="7"/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</row>
    <row r="2714">
      <c r="A2714" s="7"/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</row>
    <row r="2715">
      <c r="A2715" s="7"/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</row>
    <row r="2716">
      <c r="A2716" s="7"/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</row>
    <row r="2717">
      <c r="A2717" s="7"/>
      <c r="B2717" s="7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</row>
    <row r="2718">
      <c r="A2718" s="7"/>
      <c r="B2718" s="7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</row>
    <row r="2719">
      <c r="A2719" s="7"/>
      <c r="B2719" s="7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</row>
    <row r="2720">
      <c r="A2720" s="7"/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</row>
    <row r="2721">
      <c r="A2721" s="7"/>
      <c r="B2721" s="7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</row>
    <row r="2722">
      <c r="A2722" s="7"/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</row>
    <row r="2723">
      <c r="A2723" s="7"/>
      <c r="B2723" s="7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</row>
    <row r="2724">
      <c r="A2724" s="7"/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</row>
    <row r="2725">
      <c r="A2725" s="7"/>
      <c r="B2725" s="7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</row>
    <row r="2726">
      <c r="A2726" s="7"/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</row>
    <row r="2727">
      <c r="A2727" s="7"/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</row>
    <row r="2728">
      <c r="A2728" s="7"/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</row>
    <row r="2729">
      <c r="A2729" s="7"/>
      <c r="B2729" s="7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</row>
    <row r="2730">
      <c r="A2730" s="7"/>
      <c r="B2730" s="7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</row>
    <row r="2731">
      <c r="A2731" s="7"/>
      <c r="B2731" s="7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</row>
    <row r="2732">
      <c r="A2732" s="7"/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</row>
    <row r="2733">
      <c r="A2733" s="7"/>
      <c r="B2733" s="7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</row>
    <row r="2734">
      <c r="A2734" s="7"/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</row>
    <row r="2735">
      <c r="A2735" s="7"/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</row>
    <row r="2736">
      <c r="A2736" s="7"/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</row>
    <row r="2737">
      <c r="A2737" s="7"/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</row>
    <row r="2738">
      <c r="A2738" s="7"/>
      <c r="B2738" s="7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</row>
    <row r="2739">
      <c r="A2739" s="7"/>
      <c r="B2739" s="7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</row>
    <row r="2740">
      <c r="A2740" s="7"/>
      <c r="B2740" s="7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</row>
    <row r="2741">
      <c r="A2741" s="7"/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</row>
    <row r="2742">
      <c r="A2742" s="7"/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</row>
    <row r="2743">
      <c r="A2743" s="7"/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</row>
    <row r="2744">
      <c r="A2744" s="7"/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</row>
    <row r="2745">
      <c r="A2745" s="7"/>
      <c r="B2745" s="7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</row>
    <row r="2746">
      <c r="A2746" s="7"/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</row>
    <row r="2747">
      <c r="A2747" s="7"/>
      <c r="B2747" s="7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</row>
    <row r="2748">
      <c r="A2748" s="7"/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</row>
    <row r="2749">
      <c r="A2749" s="7"/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</row>
    <row r="2750">
      <c r="A2750" s="7"/>
      <c r="B2750" s="7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</row>
    <row r="2751">
      <c r="A2751" s="7"/>
      <c r="B2751" s="7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</row>
    <row r="2752">
      <c r="A2752" s="7"/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</row>
    <row r="2753">
      <c r="A2753" s="7"/>
      <c r="B2753" s="7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</row>
    <row r="2754">
      <c r="A2754" s="7"/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</row>
    <row r="2755">
      <c r="A2755" s="7"/>
      <c r="B2755" s="7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</row>
    <row r="2756">
      <c r="A2756" s="7"/>
      <c r="B2756" s="7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</row>
    <row r="2757">
      <c r="A2757" s="7"/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</row>
    <row r="2758">
      <c r="A2758" s="7"/>
      <c r="B2758" s="7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</row>
    <row r="2759">
      <c r="A2759" s="7"/>
      <c r="B2759" s="7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</row>
    <row r="2760">
      <c r="A2760" s="7"/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</row>
    <row r="2761">
      <c r="A2761" s="7"/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</row>
    <row r="2762">
      <c r="A2762" s="7"/>
      <c r="B2762" s="7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</row>
    <row r="2763">
      <c r="A2763" s="7"/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</row>
    <row r="2764">
      <c r="A2764" s="7"/>
      <c r="B2764" s="7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</row>
    <row r="2765">
      <c r="A2765" s="7"/>
      <c r="B2765" s="7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</row>
    <row r="2766">
      <c r="A2766" s="7"/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</row>
    <row r="2767">
      <c r="A2767" s="7"/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</row>
    <row r="2768">
      <c r="A2768" s="7"/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</row>
    <row r="2769">
      <c r="A2769" s="7"/>
      <c r="B2769" s="7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</row>
    <row r="2770">
      <c r="A2770" s="7"/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</row>
    <row r="2771">
      <c r="A2771" s="7"/>
      <c r="B2771" s="7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</row>
    <row r="2772">
      <c r="A2772" s="7"/>
      <c r="B2772" s="7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</row>
    <row r="2773">
      <c r="A2773" s="7"/>
      <c r="B2773" s="7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</row>
    <row r="2774">
      <c r="A2774" s="7"/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</row>
    <row r="2775">
      <c r="A2775" s="7"/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</row>
    <row r="2776">
      <c r="A2776" s="7"/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</row>
    <row r="2777">
      <c r="A2777" s="7"/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</row>
    <row r="2778">
      <c r="A2778" s="7"/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</row>
    <row r="2779">
      <c r="A2779" s="7"/>
      <c r="B2779" s="7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</row>
    <row r="2780">
      <c r="A2780" s="7"/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</row>
    <row r="2781">
      <c r="A2781" s="7"/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</row>
    <row r="2782">
      <c r="A2782" s="7"/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</row>
    <row r="2783">
      <c r="A2783" s="7"/>
      <c r="B2783" s="7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</row>
    <row r="2784">
      <c r="A2784" s="7"/>
      <c r="B2784" s="7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</row>
    <row r="2785">
      <c r="A2785" s="7"/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</row>
    <row r="2786">
      <c r="A2786" s="7"/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</row>
    <row r="2787">
      <c r="A2787" s="7"/>
      <c r="B2787" s="7"/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</row>
    <row r="2788">
      <c r="A2788" s="7"/>
      <c r="B2788" s="7"/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</row>
    <row r="2789">
      <c r="A2789" s="7"/>
      <c r="B2789" s="7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</row>
    <row r="2790">
      <c r="A2790" s="7"/>
      <c r="B2790" s="7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</row>
    <row r="2791">
      <c r="A2791" s="7"/>
      <c r="B2791" s="7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</row>
    <row r="2792">
      <c r="A2792" s="7"/>
      <c r="B2792" s="7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</row>
    <row r="2793">
      <c r="A2793" s="7"/>
      <c r="B2793" s="7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</row>
    <row r="2794">
      <c r="A2794" s="7"/>
      <c r="B2794" s="7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</row>
    <row r="2795">
      <c r="A2795" s="7"/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</row>
    <row r="2796">
      <c r="A2796" s="7"/>
      <c r="B2796" s="7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</row>
    <row r="2797">
      <c r="A2797" s="7"/>
      <c r="B2797" s="7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</row>
    <row r="2798">
      <c r="A2798" s="7"/>
      <c r="B2798" s="7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</row>
    <row r="2799">
      <c r="A2799" s="7"/>
      <c r="B2799" s="7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</row>
    <row r="2800">
      <c r="A2800" s="7"/>
      <c r="B2800" s="7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</row>
    <row r="2801">
      <c r="A2801" s="7"/>
      <c r="B2801" s="7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</row>
    <row r="2802">
      <c r="A2802" s="7"/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</row>
    <row r="2803">
      <c r="A2803" s="7"/>
      <c r="B2803" s="7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</row>
    <row r="2804">
      <c r="A2804" s="7"/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</row>
    <row r="2805">
      <c r="A2805" s="7"/>
      <c r="B2805" s="7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</row>
    <row r="2806">
      <c r="A2806" s="7"/>
      <c r="B2806" s="7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</row>
    <row r="2807">
      <c r="A2807" s="7"/>
      <c r="B2807" s="7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</row>
    <row r="2808">
      <c r="A2808" s="7"/>
      <c r="B2808" s="7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</row>
    <row r="2809">
      <c r="A2809" s="7"/>
      <c r="B2809" s="7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</row>
    <row r="2810">
      <c r="A2810" s="7"/>
      <c r="B2810" s="7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</row>
    <row r="2811">
      <c r="A2811" s="7"/>
      <c r="B2811" s="7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</row>
    <row r="2812">
      <c r="A2812" s="7"/>
      <c r="B2812" s="7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</row>
    <row r="2813">
      <c r="A2813" s="7"/>
      <c r="B2813" s="7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</row>
    <row r="2814">
      <c r="A2814" s="7"/>
      <c r="B2814" s="7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</row>
    <row r="2815">
      <c r="A2815" s="7"/>
      <c r="B2815" s="7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</row>
    <row r="2816">
      <c r="A2816" s="7"/>
      <c r="B2816" s="7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</row>
    <row r="2817">
      <c r="A2817" s="7"/>
      <c r="B2817" s="7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</row>
    <row r="2818">
      <c r="A2818" s="7"/>
      <c r="B2818" s="7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</row>
    <row r="2819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</row>
    <row r="2820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</row>
    <row r="2821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</row>
    <row r="2822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</row>
    <row r="282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</row>
    <row r="2824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</row>
    <row r="2825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</row>
    <row r="2826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</row>
    <row r="2827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</row>
    <row r="2828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</row>
    <row r="2829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</row>
    <row r="2830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</row>
    <row r="2831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</row>
    <row r="2832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</row>
    <row r="283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</row>
    <row r="2834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</row>
    <row r="2835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</row>
    <row r="2836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</row>
    <row r="2837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</row>
    <row r="2838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</row>
    <row r="2839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</row>
    <row r="2840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</row>
    <row r="2841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</row>
    <row r="2842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</row>
    <row r="284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</row>
    <row r="2844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</row>
    <row r="2845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</row>
    <row r="2846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</row>
    <row r="2847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</row>
    <row r="2848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</row>
    <row r="2849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</row>
    <row r="2850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</row>
    <row r="2851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</row>
    <row r="2852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</row>
    <row r="285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</row>
    <row r="2854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</row>
    <row r="2855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</row>
    <row r="2856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</row>
    <row r="2857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</row>
    <row r="2858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</row>
    <row r="2859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</row>
    <row r="2860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</row>
    <row r="2861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</row>
    <row r="2862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</row>
    <row r="286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</row>
    <row r="2864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</row>
    <row r="2865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</row>
    <row r="2866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</row>
    <row r="2867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</row>
    <row r="2868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</row>
    <row r="2869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</row>
    <row r="2870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</row>
    <row r="2871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</row>
    <row r="2872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</row>
    <row r="287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</row>
    <row r="2874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</row>
    <row r="2875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</row>
    <row r="2876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</row>
    <row r="2877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</row>
    <row r="2878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</row>
    <row r="2879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</row>
    <row r="2880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</row>
    <row r="2881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</row>
    <row r="2882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</row>
    <row r="288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</row>
    <row r="2884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</row>
    <row r="2885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</row>
    <row r="2886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</row>
    <row r="2887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</row>
    <row r="2888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</row>
    <row r="2889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</row>
    <row r="2890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</row>
    <row r="2891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</row>
    <row r="2892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</row>
    <row r="289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</row>
    <row r="2894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</row>
    <row r="2895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</row>
    <row r="2896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</row>
    <row r="2897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</row>
    <row r="2898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</row>
    <row r="2899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</row>
    <row r="2900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</row>
    <row r="2901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</row>
    <row r="2902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</row>
    <row r="290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</row>
    <row r="2904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</row>
    <row r="2905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</row>
    <row r="2906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</row>
    <row r="2907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</row>
    <row r="2908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</row>
    <row r="2909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</row>
    <row r="2910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</row>
    <row r="2911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</row>
    <row r="2912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</row>
    <row r="291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</row>
    <row r="2914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</row>
    <row r="2915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</row>
    <row r="2916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</row>
    <row r="2917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</row>
    <row r="2918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</row>
    <row r="2919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</row>
    <row r="2920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</row>
    <row r="2921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</row>
    <row r="2922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</row>
    <row r="292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</row>
    <row r="2924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</row>
    <row r="2925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</row>
    <row r="2926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</row>
    <row r="2927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</row>
    <row r="2928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</row>
    <row r="2929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</row>
    <row r="2930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</row>
    <row r="2931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</row>
    <row r="2932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</row>
    <row r="293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</row>
    <row r="2934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</row>
    <row r="2935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</row>
    <row r="2936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</row>
    <row r="2937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</row>
    <row r="2938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</row>
    <row r="2939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</row>
    <row r="2940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</row>
    <row r="2941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</row>
    <row r="2942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</row>
    <row r="294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</row>
    <row r="2944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</row>
    <row r="2945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</row>
    <row r="2946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</row>
    <row r="2947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</row>
    <row r="2948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</row>
    <row r="2949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</row>
    <row r="2950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</row>
    <row r="2951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</row>
    <row r="2952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</row>
    <row r="295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</row>
    <row r="2954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</row>
    <row r="2955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</row>
    <row r="2956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</row>
    <row r="2957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</row>
    <row r="2958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</row>
    <row r="2959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</row>
    <row r="2960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</row>
    <row r="2961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</row>
    <row r="2962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</row>
    <row r="296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</row>
    <row r="2964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</row>
    <row r="2965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</row>
    <row r="2966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</row>
    <row r="2967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</row>
    <row r="2968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</row>
    <row r="2969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</row>
    <row r="2970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</row>
    <row r="2971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</row>
    <row r="2972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</row>
    <row r="297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</row>
    <row r="2974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</row>
    <row r="2975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</row>
    <row r="2976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</row>
    <row r="2977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</row>
    <row r="2978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</row>
    <row r="2979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</row>
    <row r="2980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</row>
    <row r="2981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</row>
    <row r="2982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</row>
    <row r="298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</row>
    <row r="2984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</row>
    <row r="2985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</row>
    <row r="2986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</row>
    <row r="2987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</row>
    <row r="2988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</row>
    <row r="2989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</row>
    <row r="2990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</row>
    <row r="2991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</row>
    <row r="2992">
      <c r="A2992" s="7"/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</row>
    <row r="2993">
      <c r="A2993" s="7"/>
      <c r="B2993" s="7"/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</row>
    <row r="2994">
      <c r="A2994" s="7"/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</row>
    <row r="2995">
      <c r="A2995" s="7"/>
      <c r="B2995" s="7"/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</row>
    <row r="2996">
      <c r="A2996" s="7"/>
      <c r="B2996" s="7"/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</row>
    <row r="2997">
      <c r="A2997" s="7"/>
      <c r="B2997" s="7"/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</row>
    <row r="2998">
      <c r="A2998" s="7"/>
      <c r="B2998" s="7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</row>
    <row r="2999">
      <c r="A2999" s="7"/>
      <c r="B2999" s="7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</row>
    <row r="3000">
      <c r="A3000" s="7"/>
      <c r="B3000" s="7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</row>
    <row r="3001">
      <c r="A3001" s="7"/>
      <c r="B3001" s="7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</row>
    <row r="3002">
      <c r="A3002" s="7"/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</row>
    <row r="3003">
      <c r="A3003" s="7"/>
      <c r="B3003" s="7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</row>
    <row r="3004">
      <c r="A3004" s="7"/>
      <c r="B3004" s="7"/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</row>
    <row r="3005">
      <c r="A3005" s="7"/>
      <c r="B3005" s="7"/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</row>
    <row r="3006">
      <c r="A3006" s="7"/>
      <c r="B3006" s="7"/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</row>
    <row r="3007">
      <c r="A3007" s="7"/>
      <c r="B3007" s="7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</row>
    <row r="3008">
      <c r="A3008" s="7"/>
      <c r="B3008" s="7"/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</row>
    <row r="3009">
      <c r="A3009" s="7"/>
      <c r="B3009" s="7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</row>
    <row r="3010">
      <c r="A3010" s="7"/>
      <c r="B3010" s="7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</row>
    <row r="3011">
      <c r="A3011" s="7"/>
      <c r="B3011" s="7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</row>
    <row r="3012">
      <c r="A3012" s="7"/>
      <c r="B3012" s="7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</row>
    <row r="3013">
      <c r="A3013" s="7"/>
      <c r="B3013" s="7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</row>
    <row r="3014">
      <c r="A3014" s="7"/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</row>
    <row r="3015">
      <c r="A3015" s="7"/>
      <c r="B3015" s="7"/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</row>
    <row r="3016">
      <c r="A3016" s="7"/>
      <c r="B3016" s="7"/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</row>
    <row r="3017">
      <c r="A3017" s="7"/>
      <c r="B3017" s="7"/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</row>
    <row r="3018">
      <c r="A3018" s="7"/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</row>
    <row r="3019">
      <c r="A3019" s="7"/>
      <c r="B3019" s="7"/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</row>
    <row r="3020">
      <c r="A3020" s="7"/>
      <c r="B3020" s="7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</row>
    <row r="3021">
      <c r="A3021" s="7"/>
      <c r="B3021" s="7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</row>
    <row r="3022">
      <c r="A3022" s="7"/>
      <c r="B3022" s="7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</row>
    <row r="3023">
      <c r="A3023" s="7"/>
      <c r="B3023" s="7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</row>
    <row r="3024">
      <c r="A3024" s="7"/>
      <c r="B3024" s="7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</row>
    <row r="3025">
      <c r="A3025" s="7"/>
      <c r="B3025" s="7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</row>
    <row r="3026">
      <c r="A3026" s="7"/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</row>
    <row r="3027">
      <c r="A3027" s="7"/>
      <c r="B3027" s="7"/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</row>
    <row r="3028">
      <c r="A3028" s="7"/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</row>
    <row r="3029">
      <c r="A3029" s="7"/>
      <c r="B3029" s="7"/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</row>
    <row r="3030">
      <c r="A3030" s="7"/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</row>
    <row r="3031">
      <c r="A3031" s="7"/>
      <c r="B3031" s="7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</row>
    <row r="3032">
      <c r="A3032" s="7"/>
      <c r="B3032" s="7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</row>
    <row r="3033">
      <c r="A3033" s="7"/>
      <c r="B3033" s="7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</row>
    <row r="3034">
      <c r="A3034" s="7"/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</row>
    <row r="3035">
      <c r="A3035" s="7"/>
      <c r="B3035" s="7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</row>
    <row r="3036">
      <c r="A3036" s="7"/>
      <c r="B3036" s="7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</row>
    <row r="3037">
      <c r="A3037" s="7"/>
      <c r="B3037" s="7"/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</row>
    <row r="3038">
      <c r="A3038" s="7"/>
      <c r="B3038" s="7"/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</row>
    <row r="3039">
      <c r="A3039" s="7"/>
      <c r="B3039" s="7"/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</row>
    <row r="3040">
      <c r="A3040" s="7"/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</row>
    <row r="3041">
      <c r="A3041" s="7"/>
      <c r="B3041" s="7"/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</row>
    <row r="3042">
      <c r="A3042" s="7"/>
      <c r="B3042" s="7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</row>
    <row r="3043">
      <c r="A3043" s="7"/>
      <c r="B3043" s="7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</row>
    <row r="3044">
      <c r="A3044" s="7"/>
      <c r="B3044" s="7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</row>
    <row r="3045">
      <c r="A3045" s="7"/>
      <c r="B3045" s="7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</row>
    <row r="3046">
      <c r="A3046" s="7"/>
      <c r="B3046" s="7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</row>
    <row r="3047">
      <c r="A3047" s="7"/>
      <c r="B3047" s="7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</row>
    <row r="3048">
      <c r="A3048" s="7"/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</row>
    <row r="3049">
      <c r="A3049" s="7"/>
      <c r="B3049" s="7"/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</row>
    <row r="3050">
      <c r="A3050" s="7"/>
      <c r="B3050" s="7"/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</row>
    <row r="3051">
      <c r="A3051" s="7"/>
      <c r="B3051" s="7"/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</row>
    <row r="3052">
      <c r="A3052" s="7"/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</row>
    <row r="3053">
      <c r="A3053" s="7"/>
      <c r="B3053" s="7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</row>
    <row r="3054">
      <c r="A3054" s="7"/>
      <c r="B3054" s="7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</row>
    <row r="3055">
      <c r="A3055" s="7"/>
      <c r="B3055" s="7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</row>
    <row r="3056">
      <c r="A3056" s="7"/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</row>
    <row r="3057">
      <c r="A3057" s="7"/>
      <c r="B3057" s="7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</row>
    <row r="3058">
      <c r="A3058" s="7"/>
      <c r="B3058" s="7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</row>
    <row r="3059">
      <c r="A3059" s="7"/>
      <c r="B3059" s="7"/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</row>
    <row r="3060">
      <c r="A3060" s="7"/>
      <c r="B3060" s="7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</row>
    <row r="3061">
      <c r="A3061" s="7"/>
      <c r="B3061" s="7"/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</row>
    <row r="3062">
      <c r="A3062" s="7"/>
      <c r="B3062" s="7"/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</row>
    <row r="3063">
      <c r="A3063" s="7"/>
      <c r="B3063" s="7"/>
      <c r="C3063" s="7"/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</row>
    <row r="3064">
      <c r="A3064" s="7"/>
      <c r="B3064" s="7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</row>
    <row r="3065">
      <c r="A3065" s="7"/>
      <c r="B3065" s="7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</row>
    <row r="3066">
      <c r="A3066" s="7"/>
      <c r="B3066" s="7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</row>
    <row r="3067">
      <c r="A3067" s="7"/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</row>
    <row r="3068">
      <c r="A3068" s="7"/>
      <c r="B3068" s="7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</row>
    <row r="3069">
      <c r="A3069" s="7"/>
      <c r="B3069" s="7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</row>
    <row r="3070">
      <c r="A3070" s="7"/>
      <c r="B3070" s="7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</row>
    <row r="3071">
      <c r="A3071" s="7"/>
      <c r="B3071" s="7"/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</row>
    <row r="3072">
      <c r="A3072" s="7"/>
      <c r="B3072" s="7"/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</row>
    <row r="3073">
      <c r="A3073" s="7"/>
      <c r="B3073" s="7"/>
      <c r="C3073" s="7"/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</row>
    <row r="3074">
      <c r="A3074" s="7"/>
      <c r="B3074" s="7"/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</row>
    <row r="3075">
      <c r="A3075" s="7"/>
      <c r="B3075" s="7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</row>
    <row r="3076">
      <c r="A3076" s="7"/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</row>
    <row r="3077">
      <c r="A3077" s="7"/>
      <c r="B3077" s="7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</row>
    <row r="3078">
      <c r="A3078" s="7"/>
      <c r="B3078" s="7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</row>
    <row r="3079">
      <c r="A3079" s="7"/>
      <c r="B3079" s="7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</row>
    <row r="3080">
      <c r="A3080" s="7"/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</row>
    <row r="3081">
      <c r="A3081" s="7"/>
      <c r="B3081" s="7"/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</row>
    <row r="3082">
      <c r="A3082" s="7"/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</row>
    <row r="3083">
      <c r="A3083" s="7"/>
      <c r="B3083" s="7"/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</row>
    <row r="3084">
      <c r="A3084" s="7"/>
      <c r="B3084" s="7"/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</row>
    <row r="3085">
      <c r="A3085" s="7"/>
      <c r="B3085" s="7"/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</row>
    <row r="3086">
      <c r="A3086" s="7"/>
      <c r="B3086" s="7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</row>
    <row r="3087">
      <c r="A3087" s="7"/>
      <c r="B3087" s="7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</row>
    <row r="3088">
      <c r="A3088" s="7"/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</row>
    <row r="3089">
      <c r="A3089" s="7"/>
      <c r="B3089" s="7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</row>
    <row r="3090">
      <c r="A3090" s="7"/>
      <c r="B3090" s="7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</row>
    <row r="3091">
      <c r="A3091" s="7"/>
      <c r="B3091" s="7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</row>
    <row r="3092">
      <c r="A3092" s="7"/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</row>
    <row r="3093">
      <c r="A3093" s="7"/>
      <c r="B3093" s="7"/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</row>
    <row r="3094">
      <c r="A3094" s="7"/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</row>
    <row r="3095">
      <c r="A3095" s="7"/>
      <c r="B3095" s="7"/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</row>
    <row r="3096">
      <c r="A3096" s="7"/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</row>
    <row r="3097">
      <c r="A3097" s="7"/>
      <c r="B3097" s="7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</row>
    <row r="3098">
      <c r="A3098" s="7"/>
      <c r="B3098" s="7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</row>
    <row r="3099">
      <c r="A3099" s="7"/>
      <c r="B3099" s="7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</row>
    <row r="3100">
      <c r="A3100" s="7"/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</row>
    <row r="3101">
      <c r="A3101" s="7"/>
      <c r="B3101" s="7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</row>
    <row r="3102">
      <c r="A3102" s="7"/>
      <c r="B3102" s="7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</row>
    <row r="3103">
      <c r="A3103" s="7"/>
      <c r="B3103" s="7"/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</row>
    <row r="3104">
      <c r="A3104" s="7"/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</row>
    <row r="3105">
      <c r="A3105" s="7"/>
      <c r="B3105" s="7"/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</row>
    <row r="3106">
      <c r="A3106" s="7"/>
      <c r="B3106" s="7"/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</row>
    <row r="3107">
      <c r="A3107" s="7"/>
      <c r="B3107" s="7"/>
      <c r="C3107" s="7"/>
      <c r="D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</row>
    <row r="3108">
      <c r="A3108" s="7"/>
      <c r="B3108" s="7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</row>
    <row r="3109">
      <c r="A3109" s="7"/>
      <c r="B3109" s="7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</row>
    <row r="3110">
      <c r="A3110" s="7"/>
      <c r="B3110" s="7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</row>
    <row r="3111">
      <c r="A3111" s="7"/>
      <c r="B3111" s="7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</row>
    <row r="3112">
      <c r="A3112" s="7"/>
      <c r="B3112" s="7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</row>
    <row r="3113">
      <c r="A3113" s="7"/>
      <c r="B3113" s="7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</row>
    <row r="3114">
      <c r="A3114" s="7"/>
      <c r="B3114" s="7"/>
      <c r="C3114" s="7"/>
      <c r="D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</row>
    <row r="3115">
      <c r="A3115" s="7"/>
      <c r="B3115" s="7"/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</row>
    <row r="3116">
      <c r="A3116" s="7"/>
      <c r="B3116" s="7"/>
      <c r="C3116" s="7"/>
      <c r="D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</row>
    <row r="3117">
      <c r="A3117" s="7"/>
      <c r="B3117" s="7"/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</row>
    <row r="3118">
      <c r="A3118" s="7"/>
      <c r="B3118" s="7"/>
      <c r="C3118" s="7"/>
      <c r="D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</row>
    <row r="3119">
      <c r="A3119" s="7"/>
      <c r="B3119" s="7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</row>
    <row r="3120">
      <c r="A3120" s="7"/>
      <c r="B3120" s="7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</row>
    <row r="3121">
      <c r="A3121" s="7"/>
      <c r="B3121" s="7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</row>
    <row r="3122">
      <c r="A3122" s="7"/>
      <c r="B3122" s="7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</row>
    <row r="3123">
      <c r="A3123" s="7"/>
      <c r="B3123" s="7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</row>
    <row r="3124">
      <c r="A3124" s="7"/>
      <c r="B3124" s="7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</row>
    <row r="3125">
      <c r="A3125" s="7"/>
      <c r="B3125" s="7"/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</row>
    <row r="3126">
      <c r="A3126" s="7"/>
      <c r="B3126" s="7"/>
      <c r="C3126" s="7"/>
      <c r="D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</row>
    <row r="3127">
      <c r="A3127" s="7"/>
      <c r="B3127" s="7"/>
      <c r="C3127" s="7"/>
      <c r="D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</row>
    <row r="3128">
      <c r="A3128" s="7"/>
      <c r="B3128" s="7"/>
      <c r="C3128" s="7"/>
      <c r="D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</row>
    <row r="3129">
      <c r="A3129" s="7"/>
      <c r="B3129" s="7"/>
      <c r="C3129" s="7"/>
      <c r="D3129" s="7"/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</row>
    <row r="3130">
      <c r="A3130" s="7"/>
      <c r="B3130" s="7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</row>
    <row r="3131">
      <c r="A3131" s="7"/>
      <c r="B3131" s="7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</row>
    <row r="3132">
      <c r="A3132" s="7"/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</row>
    <row r="3133">
      <c r="A3133" s="7"/>
      <c r="B3133" s="7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</row>
    <row r="3134">
      <c r="A3134" s="7"/>
      <c r="B3134" s="7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</row>
    <row r="3135">
      <c r="A3135" s="7"/>
      <c r="B3135" s="7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</row>
    <row r="3136">
      <c r="A3136" s="7"/>
      <c r="B3136" s="7"/>
      <c r="C3136" s="7"/>
      <c r="D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</row>
    <row r="3137">
      <c r="A3137" s="7"/>
      <c r="B3137" s="7"/>
      <c r="C3137" s="7"/>
      <c r="D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</row>
    <row r="3138">
      <c r="A3138" s="7"/>
      <c r="B3138" s="7"/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</row>
    <row r="3139">
      <c r="A3139" s="7"/>
      <c r="B3139" s="7"/>
      <c r="C3139" s="7"/>
      <c r="D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</row>
    <row r="3140">
      <c r="A3140" s="7"/>
      <c r="B3140" s="7"/>
      <c r="C3140" s="7"/>
      <c r="D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</row>
    <row r="3141">
      <c r="A3141" s="7"/>
      <c r="B3141" s="7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</row>
    <row r="3142">
      <c r="A3142" s="7"/>
      <c r="B3142" s="7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</row>
    <row r="3143">
      <c r="A3143" s="7"/>
      <c r="B3143" s="7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</row>
    <row r="3144">
      <c r="A3144" s="7"/>
      <c r="B3144" s="7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</row>
    <row r="3145">
      <c r="A3145" s="7"/>
      <c r="B3145" s="7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</row>
    <row r="3146">
      <c r="A3146" s="7"/>
      <c r="B3146" s="7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</row>
    <row r="3147">
      <c r="A3147" s="7"/>
      <c r="B3147" s="7"/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</row>
    <row r="3148">
      <c r="A3148" s="7"/>
      <c r="B3148" s="7"/>
      <c r="C3148" s="7"/>
      <c r="D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</row>
    <row r="3149">
      <c r="A3149" s="7"/>
      <c r="B3149" s="7"/>
      <c r="C3149" s="7"/>
      <c r="D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</row>
    <row r="3150">
      <c r="A3150" s="7"/>
      <c r="B3150" s="7"/>
      <c r="C3150" s="7"/>
      <c r="D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</row>
    <row r="3151">
      <c r="A3151" s="7"/>
      <c r="B3151" s="7"/>
      <c r="C3151" s="7"/>
      <c r="D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</row>
    <row r="3152">
      <c r="A3152" s="7"/>
      <c r="B3152" s="7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</row>
    <row r="3153">
      <c r="A3153" s="7"/>
      <c r="B3153" s="7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</row>
    <row r="3154">
      <c r="A3154" s="7"/>
      <c r="B3154" s="7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</row>
    <row r="3155">
      <c r="A3155" s="7"/>
      <c r="B3155" s="7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</row>
    <row r="3156">
      <c r="A3156" s="7"/>
      <c r="B3156" s="7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</row>
    <row r="3157">
      <c r="A3157" s="7"/>
      <c r="B3157" s="7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</row>
    <row r="3158">
      <c r="A3158" s="7"/>
      <c r="B3158" s="7"/>
      <c r="C3158" s="7"/>
      <c r="D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</row>
    <row r="3159">
      <c r="A3159" s="7"/>
      <c r="B3159" s="7"/>
      <c r="C3159" s="7"/>
      <c r="D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</row>
    <row r="3160">
      <c r="A3160" s="7"/>
      <c r="B3160" s="7"/>
      <c r="C3160" s="7"/>
      <c r="D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</row>
    <row r="3161">
      <c r="A3161" s="7"/>
      <c r="B3161" s="7"/>
      <c r="C3161" s="7"/>
      <c r="D3161" s="7"/>
      <c r="E3161" s="7"/>
      <c r="F3161" s="7"/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</row>
    <row r="3162">
      <c r="A3162" s="7"/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</row>
    <row r="3163">
      <c r="A3163" s="7"/>
      <c r="B3163" s="7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</row>
    <row r="3164">
      <c r="A3164" s="7"/>
      <c r="B3164" s="7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</row>
    <row r="3165">
      <c r="A3165" s="7"/>
      <c r="B3165" s="7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</row>
    <row r="3166">
      <c r="A3166" s="7"/>
      <c r="B3166" s="7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</row>
    <row r="3167">
      <c r="A3167" s="7"/>
      <c r="B3167" s="7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</row>
    <row r="3168">
      <c r="A3168" s="7"/>
      <c r="B3168" s="7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</row>
    <row r="3169">
      <c r="A3169" s="7"/>
      <c r="B3169" s="7"/>
      <c r="C3169" s="7"/>
      <c r="D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</row>
    <row r="3170">
      <c r="A3170" s="7"/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</row>
    <row r="3171">
      <c r="A3171" s="7"/>
      <c r="B3171" s="7"/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</row>
    <row r="3172">
      <c r="A3172" s="7"/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</row>
    <row r="3173">
      <c r="A3173" s="7"/>
      <c r="B3173" s="7"/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</row>
    <row r="3174">
      <c r="A3174" s="7"/>
      <c r="B3174" s="7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</row>
    <row r="3175">
      <c r="A3175" s="7"/>
      <c r="B3175" s="7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</row>
    <row r="3176">
      <c r="A3176" s="7"/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</row>
    <row r="3177">
      <c r="A3177" s="7"/>
      <c r="B3177" s="7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</row>
    <row r="3178">
      <c r="A3178" s="7"/>
      <c r="B3178" s="7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</row>
    <row r="3179">
      <c r="A3179" s="7"/>
      <c r="B3179" s="7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</row>
    <row r="3180">
      <c r="A3180" s="7"/>
      <c r="B3180" s="7"/>
      <c r="C3180" s="7"/>
      <c r="D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</row>
    <row r="3181">
      <c r="A3181" s="7"/>
      <c r="B3181" s="7"/>
      <c r="C3181" s="7"/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</row>
    <row r="3182">
      <c r="A3182" s="7"/>
      <c r="B3182" s="7"/>
      <c r="C3182" s="7"/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</row>
    <row r="3183">
      <c r="A3183" s="7"/>
      <c r="B3183" s="7"/>
      <c r="C3183" s="7"/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</row>
    <row r="3184">
      <c r="A3184" s="7"/>
      <c r="B3184" s="7"/>
      <c r="C3184" s="7"/>
      <c r="D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</row>
    <row r="3185">
      <c r="A3185" s="7"/>
      <c r="B3185" s="7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</row>
    <row r="3186">
      <c r="A3186" s="7"/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</row>
    <row r="3187">
      <c r="A3187" s="7"/>
      <c r="B3187" s="7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</row>
    <row r="3188">
      <c r="A3188" s="7"/>
      <c r="B3188" s="7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</row>
    <row r="3189">
      <c r="A3189" s="7"/>
      <c r="B3189" s="7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</row>
    <row r="3190">
      <c r="A3190" s="7"/>
      <c r="B3190" s="7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</row>
    <row r="3191">
      <c r="A3191" s="7"/>
      <c r="B3191" s="7"/>
      <c r="C3191" s="7"/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</row>
    <row r="3192">
      <c r="A3192" s="7"/>
      <c r="B3192" s="7"/>
      <c r="C3192" s="7"/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</row>
    <row r="3193">
      <c r="A3193" s="7"/>
      <c r="B3193" s="7"/>
      <c r="C3193" s="7"/>
      <c r="D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</row>
    <row r="3194">
      <c r="A3194" s="7"/>
      <c r="B3194" s="7"/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</row>
    <row r="3195">
      <c r="A3195" s="7"/>
      <c r="B3195" s="7"/>
      <c r="C3195" s="7"/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</row>
    <row r="3196">
      <c r="A3196" s="7"/>
      <c r="B3196" s="7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</row>
    <row r="3197">
      <c r="A3197" s="7"/>
      <c r="B3197" s="7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</row>
    <row r="3198">
      <c r="A3198" s="7"/>
      <c r="B3198" s="7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</row>
    <row r="3199">
      <c r="A3199" s="7"/>
      <c r="B3199" s="7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</row>
    <row r="3200">
      <c r="A3200" s="7"/>
      <c r="B3200" s="7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</row>
    <row r="3201">
      <c r="A3201" s="7"/>
      <c r="B3201" s="7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</row>
    <row r="3202">
      <c r="A3202" s="7"/>
      <c r="B3202" s="7"/>
      <c r="C3202" s="7"/>
      <c r="D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</row>
    <row r="3203">
      <c r="A3203" s="7"/>
      <c r="B3203" s="7"/>
      <c r="C3203" s="7"/>
      <c r="D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</row>
    <row r="3204">
      <c r="A3204" s="7"/>
      <c r="B3204" s="7"/>
      <c r="C3204" s="7"/>
      <c r="D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</row>
    <row r="3205">
      <c r="A3205" s="7"/>
      <c r="B3205" s="7"/>
      <c r="C3205" s="7"/>
      <c r="D3205" s="7"/>
      <c r="E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</row>
    <row r="3206">
      <c r="A3206" s="7"/>
      <c r="B3206" s="7"/>
      <c r="C3206" s="7"/>
      <c r="D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</row>
    <row r="3207">
      <c r="A3207" s="7"/>
      <c r="B3207" s="7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</row>
    <row r="3208">
      <c r="A3208" s="7"/>
      <c r="B3208" s="7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</row>
    <row r="3209">
      <c r="A3209" s="7"/>
      <c r="B3209" s="7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</row>
    <row r="3210">
      <c r="A3210" s="7"/>
      <c r="B3210" s="7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</row>
    <row r="3211">
      <c r="A3211" s="7"/>
      <c r="B3211" s="7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</row>
    <row r="3212">
      <c r="A3212" s="7"/>
      <c r="B3212" s="7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</row>
    <row r="3213">
      <c r="A3213" s="7"/>
      <c r="B3213" s="7"/>
      <c r="C3213" s="7"/>
      <c r="D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</row>
    <row r="3214">
      <c r="A3214" s="7"/>
      <c r="B3214" s="7"/>
      <c r="C3214" s="7"/>
      <c r="D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</row>
    <row r="3215">
      <c r="A3215" s="7"/>
      <c r="B3215" s="7"/>
      <c r="C3215" s="7"/>
      <c r="D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</row>
    <row r="3216">
      <c r="A3216" s="7"/>
      <c r="B3216" s="7"/>
      <c r="C3216" s="7"/>
      <c r="D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</row>
    <row r="3217">
      <c r="A3217" s="7"/>
      <c r="B3217" s="7"/>
      <c r="C3217" s="7"/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</row>
    <row r="3218">
      <c r="A3218" s="7"/>
      <c r="B3218" s="7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</row>
    <row r="3219">
      <c r="A3219" s="7"/>
      <c r="B3219" s="7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</row>
    <row r="3220">
      <c r="A3220" s="7"/>
      <c r="B3220" s="7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</row>
    <row r="3221">
      <c r="A3221" s="7"/>
      <c r="B3221" s="7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</row>
    <row r="3222">
      <c r="A3222" s="7"/>
      <c r="B3222" s="7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</row>
    <row r="3223">
      <c r="A3223" s="7"/>
      <c r="B3223" s="7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</row>
    <row r="3224">
      <c r="A3224" s="7"/>
      <c r="B3224" s="7"/>
      <c r="C3224" s="7"/>
      <c r="D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</row>
    <row r="3225">
      <c r="A3225" s="7"/>
      <c r="B3225" s="7"/>
      <c r="C3225" s="7"/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</row>
    <row r="3226">
      <c r="A3226" s="7"/>
      <c r="B3226" s="7"/>
      <c r="C3226" s="7"/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</row>
    <row r="3227">
      <c r="A3227" s="7"/>
      <c r="B3227" s="7"/>
      <c r="C3227" s="7"/>
      <c r="D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</row>
    <row r="3228">
      <c r="A3228" s="7"/>
      <c r="B3228" s="7"/>
      <c r="C3228" s="7"/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</row>
    <row r="3229">
      <c r="A3229" s="7"/>
      <c r="B3229" s="7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</row>
    <row r="3230">
      <c r="A3230" s="7"/>
      <c r="B3230" s="7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</row>
    <row r="3231">
      <c r="A3231" s="7"/>
      <c r="B3231" s="7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</row>
    <row r="3232">
      <c r="A3232" s="7"/>
      <c r="B3232" s="7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</row>
    <row r="3233">
      <c r="A3233" s="7"/>
      <c r="B3233" s="7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</row>
    <row r="3234">
      <c r="A3234" s="7"/>
      <c r="B3234" s="7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</row>
    <row r="3235">
      <c r="A3235" s="7"/>
      <c r="B3235" s="7"/>
      <c r="C3235" s="7"/>
      <c r="D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</row>
    <row r="3236">
      <c r="A3236" s="7"/>
      <c r="B3236" s="7"/>
      <c r="C3236" s="7"/>
      <c r="D3236" s="7"/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</row>
    <row r="3237">
      <c r="A3237" s="7"/>
      <c r="B3237" s="7"/>
      <c r="C3237" s="7"/>
      <c r="D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</row>
    <row r="3238">
      <c r="A3238" s="7"/>
      <c r="B3238" s="7"/>
      <c r="C3238" s="7"/>
      <c r="D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</row>
    <row r="3239">
      <c r="A3239" s="7"/>
      <c r="B3239" s="7"/>
      <c r="C3239" s="7"/>
      <c r="D3239" s="7"/>
      <c r="E3239" s="7"/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</row>
    <row r="3240">
      <c r="A3240" s="7"/>
      <c r="B3240" s="7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</row>
    <row r="3241">
      <c r="A3241" s="7"/>
      <c r="B3241" s="7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</row>
    <row r="3242">
      <c r="A3242" s="7"/>
      <c r="B3242" s="7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</row>
    <row r="3243">
      <c r="A3243" s="7"/>
      <c r="B3243" s="7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</row>
    <row r="3244">
      <c r="A3244" s="7"/>
      <c r="B3244" s="7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</row>
    <row r="3245">
      <c r="A3245" s="7"/>
      <c r="B3245" s="7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</row>
    <row r="3246">
      <c r="A3246" s="7"/>
      <c r="B3246" s="7"/>
      <c r="C3246" s="7"/>
      <c r="D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</row>
    <row r="3247">
      <c r="A3247" s="7"/>
      <c r="B3247" s="7"/>
      <c r="C3247" s="7"/>
      <c r="D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</row>
    <row r="3248">
      <c r="A3248" s="7"/>
      <c r="B3248" s="7"/>
      <c r="C3248" s="7"/>
      <c r="D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</row>
    <row r="3249">
      <c r="A3249" s="7"/>
      <c r="B3249" s="7"/>
      <c r="C3249" s="7"/>
      <c r="D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</row>
    <row r="3250">
      <c r="A3250" s="7"/>
      <c r="B3250" s="7"/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</row>
    <row r="3251">
      <c r="A3251" s="7"/>
      <c r="B3251" s="7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</row>
    <row r="3252">
      <c r="A3252" s="7"/>
      <c r="B3252" s="7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</row>
    <row r="3253">
      <c r="A3253" s="7"/>
      <c r="B3253" s="7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</row>
    <row r="3254">
      <c r="A3254" s="7"/>
      <c r="B3254" s="7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</row>
    <row r="3255">
      <c r="A3255" s="7"/>
      <c r="B3255" s="7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</row>
    <row r="3256">
      <c r="A3256" s="7"/>
      <c r="B3256" s="7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</row>
    <row r="3257">
      <c r="A3257" s="7"/>
      <c r="B3257" s="7"/>
      <c r="C3257" s="7"/>
      <c r="D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</row>
    <row r="3258">
      <c r="A3258" s="7"/>
      <c r="B3258" s="7"/>
      <c r="C3258" s="7"/>
      <c r="D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</row>
    <row r="3259">
      <c r="A3259" s="7"/>
      <c r="B3259" s="7"/>
      <c r="C3259" s="7"/>
      <c r="D3259" s="7"/>
      <c r="E3259" s="7"/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</row>
    <row r="3260">
      <c r="A3260" s="7"/>
      <c r="B3260" s="7"/>
      <c r="C3260" s="7"/>
      <c r="D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</row>
    <row r="3261">
      <c r="A3261" s="7"/>
      <c r="B3261" s="7"/>
      <c r="C3261" s="7"/>
      <c r="D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</row>
    <row r="3262">
      <c r="A3262" s="7"/>
      <c r="B3262" s="7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</row>
    <row r="3263">
      <c r="A3263" s="7"/>
      <c r="B3263" s="7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</row>
    <row r="3264">
      <c r="A3264" s="7"/>
      <c r="B3264" s="7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</row>
    <row r="3265">
      <c r="A3265" s="7"/>
      <c r="B3265" s="7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</row>
    <row r="3266">
      <c r="A3266" s="7"/>
      <c r="B3266" s="7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</row>
    <row r="3267">
      <c r="A3267" s="7"/>
      <c r="B3267" s="7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</row>
    <row r="3268">
      <c r="A3268" s="7"/>
      <c r="B3268" s="7"/>
      <c r="C3268" s="7"/>
      <c r="D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</row>
    <row r="3269">
      <c r="A3269" s="7"/>
      <c r="B3269" s="7"/>
      <c r="C3269" s="7"/>
      <c r="D3269" s="7"/>
      <c r="E3269" s="7"/>
      <c r="F3269" s="7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</row>
    <row r="3270">
      <c r="A3270" s="7"/>
      <c r="B3270" s="7"/>
      <c r="C3270" s="7"/>
      <c r="D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</row>
    <row r="3271">
      <c r="A3271" s="7"/>
      <c r="B3271" s="7"/>
      <c r="C3271" s="7"/>
      <c r="D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</row>
    <row r="3272">
      <c r="A3272" s="7"/>
      <c r="B3272" s="7"/>
      <c r="C3272" s="7"/>
      <c r="D3272" s="7"/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</row>
    <row r="3273">
      <c r="A3273" s="7"/>
      <c r="B3273" s="7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</row>
    <row r="3274">
      <c r="A3274" s="7"/>
      <c r="B3274" s="7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</row>
    <row r="3275">
      <c r="A3275" s="7"/>
      <c r="B3275" s="7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</row>
    <row r="3276">
      <c r="A3276" s="7"/>
      <c r="B3276" s="7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</row>
    <row r="3277">
      <c r="A3277" s="7"/>
      <c r="B3277" s="7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</row>
    <row r="3278">
      <c r="A3278" s="7"/>
      <c r="B3278" s="7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</row>
    <row r="3279">
      <c r="A3279" s="7"/>
      <c r="B3279" s="7"/>
      <c r="C3279" s="7"/>
      <c r="D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</row>
    <row r="3280">
      <c r="A3280" s="7"/>
      <c r="B3280" s="7"/>
      <c r="C3280" s="7"/>
      <c r="D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</row>
    <row r="3281">
      <c r="A3281" s="7"/>
      <c r="B3281" s="7"/>
      <c r="C3281" s="7"/>
      <c r="D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</row>
    <row r="3282">
      <c r="A3282" s="7"/>
      <c r="B3282" s="7"/>
      <c r="C3282" s="7"/>
      <c r="D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</row>
    <row r="3283">
      <c r="A3283" s="7"/>
      <c r="B3283" s="7"/>
      <c r="C3283" s="7"/>
      <c r="D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</row>
    <row r="3284">
      <c r="A3284" s="7"/>
      <c r="B3284" s="7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</row>
    <row r="3285">
      <c r="A3285" s="7"/>
      <c r="B3285" s="7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</row>
    <row r="3286">
      <c r="A3286" s="7"/>
      <c r="B3286" s="7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</row>
    <row r="3287">
      <c r="A3287" s="7"/>
      <c r="B3287" s="7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</row>
    <row r="3288">
      <c r="A3288" s="7"/>
      <c r="B3288" s="7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</row>
    <row r="3289">
      <c r="A3289" s="7"/>
      <c r="B3289" s="7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</row>
    <row r="3290">
      <c r="A3290" s="7"/>
      <c r="B3290" s="7"/>
      <c r="C3290" s="7"/>
      <c r="D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</row>
    <row r="3291">
      <c r="A3291" s="7"/>
      <c r="B3291" s="7"/>
      <c r="C3291" s="7"/>
      <c r="D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</row>
    <row r="3292">
      <c r="A3292" s="7"/>
      <c r="B3292" s="7"/>
      <c r="C3292" s="7"/>
      <c r="D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</row>
    <row r="3293">
      <c r="A3293" s="7"/>
      <c r="B3293" s="7"/>
      <c r="C3293" s="7"/>
      <c r="D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</row>
    <row r="3294">
      <c r="A3294" s="7"/>
      <c r="B3294" s="7"/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</row>
    <row r="3295">
      <c r="A3295" s="7"/>
      <c r="B3295" s="7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</row>
    <row r="3296">
      <c r="A3296" s="7"/>
      <c r="B3296" s="7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</row>
    <row r="3297">
      <c r="A3297" s="7"/>
      <c r="B3297" s="7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</row>
    <row r="3298">
      <c r="A3298" s="7"/>
      <c r="B3298" s="7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</row>
    <row r="3299">
      <c r="A3299" s="7"/>
      <c r="B3299" s="7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</row>
    <row r="3300">
      <c r="A3300" s="7"/>
      <c r="B3300" s="7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</row>
    <row r="3301">
      <c r="A3301" s="7"/>
      <c r="B3301" s="7"/>
      <c r="C3301" s="7"/>
      <c r="D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</row>
    <row r="3302">
      <c r="A3302" s="7"/>
      <c r="B3302" s="7"/>
      <c r="C3302" s="7"/>
      <c r="D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</row>
    <row r="3303">
      <c r="A3303" s="7"/>
      <c r="B3303" s="7"/>
      <c r="C3303" s="7"/>
      <c r="D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</row>
    <row r="3304">
      <c r="A3304" s="7"/>
      <c r="B3304" s="7"/>
      <c r="C3304" s="7"/>
      <c r="D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</row>
    <row r="3305">
      <c r="A3305" s="7"/>
      <c r="B3305" s="7"/>
      <c r="C3305" s="7"/>
      <c r="D3305" s="7"/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</row>
    <row r="3306">
      <c r="A3306" s="7"/>
      <c r="B3306" s="7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</row>
    <row r="3307">
      <c r="A3307" s="7"/>
      <c r="B3307" s="7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</row>
    <row r="3308">
      <c r="A3308" s="7"/>
      <c r="B3308" s="7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</row>
    <row r="3309">
      <c r="A3309" s="7"/>
      <c r="B3309" s="7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</row>
    <row r="3310">
      <c r="A3310" s="7"/>
      <c r="B3310" s="7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</row>
    <row r="3311">
      <c r="A3311" s="7"/>
      <c r="B3311" s="7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</row>
    <row r="3312">
      <c r="A3312" s="7"/>
      <c r="B3312" s="7"/>
      <c r="C3312" s="7"/>
      <c r="D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</row>
    <row r="3313">
      <c r="A3313" s="7"/>
      <c r="B3313" s="7"/>
      <c r="C3313" s="7"/>
      <c r="D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</row>
    <row r="3314">
      <c r="A3314" s="7"/>
      <c r="B3314" s="7"/>
      <c r="C3314" s="7"/>
      <c r="D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</row>
    <row r="3315">
      <c r="A3315" s="7"/>
      <c r="B3315" s="7"/>
      <c r="C3315" s="7"/>
      <c r="D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</row>
    <row r="3316">
      <c r="A3316" s="7"/>
      <c r="B3316" s="7"/>
      <c r="C3316" s="7"/>
      <c r="D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</row>
    <row r="3317">
      <c r="A3317" s="7"/>
      <c r="B3317" s="7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</row>
    <row r="3318">
      <c r="A3318" s="7"/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</row>
    <row r="3319">
      <c r="A3319" s="7"/>
      <c r="B3319" s="7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</row>
    <row r="3320">
      <c r="A3320" s="7"/>
      <c r="B3320" s="7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</row>
    <row r="3321">
      <c r="A3321" s="7"/>
      <c r="B3321" s="7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</row>
    <row r="3322">
      <c r="A3322" s="7"/>
      <c r="B3322" s="7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</row>
    <row r="3323">
      <c r="A3323" s="7"/>
      <c r="B3323" s="7"/>
      <c r="C3323" s="7"/>
      <c r="D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</row>
    <row r="3324">
      <c r="A3324" s="7"/>
      <c r="B3324" s="7"/>
      <c r="C3324" s="7"/>
      <c r="D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</row>
    <row r="3325">
      <c r="A3325" s="7"/>
      <c r="B3325" s="7"/>
      <c r="C3325" s="7"/>
      <c r="D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</row>
    <row r="3326">
      <c r="A3326" s="7"/>
      <c r="B3326" s="7"/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</row>
    <row r="3327">
      <c r="A3327" s="7"/>
      <c r="B3327" s="7"/>
      <c r="C3327" s="7"/>
      <c r="D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</row>
    <row r="3328">
      <c r="A3328" s="7"/>
      <c r="B3328" s="7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</row>
    <row r="3329">
      <c r="A3329" s="7"/>
      <c r="B3329" s="7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</row>
    <row r="3330">
      <c r="A3330" s="7"/>
      <c r="B3330" s="7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</row>
    <row r="3331">
      <c r="A3331" s="7"/>
      <c r="B3331" s="7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</row>
    <row r="3332">
      <c r="A3332" s="7"/>
      <c r="B3332" s="7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</row>
    <row r="3333">
      <c r="A3333" s="7"/>
      <c r="B3333" s="7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</row>
    <row r="3334">
      <c r="A3334" s="7"/>
      <c r="B3334" s="7"/>
      <c r="C3334" s="7"/>
      <c r="D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</row>
    <row r="3335">
      <c r="A3335" s="7"/>
      <c r="B3335" s="7"/>
      <c r="C3335" s="7"/>
      <c r="D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</row>
    <row r="3336">
      <c r="A3336" s="7"/>
      <c r="B3336" s="7"/>
      <c r="C3336" s="7"/>
      <c r="D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</row>
    <row r="3337">
      <c r="A3337" s="7"/>
      <c r="B3337" s="7"/>
      <c r="C3337" s="7"/>
      <c r="D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</row>
    <row r="3338">
      <c r="A3338" s="7"/>
      <c r="B3338" s="7"/>
      <c r="C3338" s="7"/>
      <c r="D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</row>
    <row r="3339">
      <c r="A3339" s="7"/>
      <c r="B3339" s="7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</row>
    <row r="3340">
      <c r="A3340" s="7"/>
      <c r="B3340" s="7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</row>
    <row r="3341">
      <c r="A3341" s="7"/>
      <c r="B3341" s="7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</row>
    <row r="3342">
      <c r="A3342" s="7"/>
      <c r="B3342" s="7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</row>
    <row r="3343">
      <c r="A3343" s="7"/>
      <c r="B3343" s="7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</row>
    <row r="3344">
      <c r="A3344" s="7"/>
      <c r="B3344" s="7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</row>
    <row r="3345">
      <c r="A3345" s="7"/>
      <c r="B3345" s="7"/>
      <c r="C3345" s="7"/>
      <c r="D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</row>
    <row r="3346">
      <c r="A3346" s="7"/>
      <c r="B3346" s="7"/>
      <c r="C3346" s="7"/>
      <c r="D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</row>
    <row r="3347">
      <c r="A3347" s="7"/>
      <c r="B3347" s="7"/>
      <c r="C3347" s="7"/>
      <c r="D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</row>
    <row r="3348">
      <c r="A3348" s="7"/>
      <c r="B3348" s="7"/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</row>
    <row r="3349">
      <c r="A3349" s="7"/>
      <c r="B3349" s="7"/>
      <c r="C3349" s="7"/>
      <c r="D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</row>
    <row r="3350">
      <c r="A3350" s="7"/>
      <c r="B3350" s="7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</row>
    <row r="3351">
      <c r="A3351" s="7"/>
      <c r="B3351" s="7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</row>
    <row r="3352">
      <c r="A3352" s="7"/>
      <c r="B3352" s="7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</row>
    <row r="3353">
      <c r="A3353" s="7"/>
      <c r="B3353" s="7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</row>
    <row r="3354">
      <c r="A3354" s="7"/>
      <c r="B3354" s="7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</row>
    <row r="3355">
      <c r="A3355" s="7"/>
      <c r="B3355" s="7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</row>
    <row r="3356">
      <c r="A3356" s="7"/>
      <c r="B3356" s="7"/>
      <c r="C3356" s="7"/>
      <c r="D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</row>
    <row r="3357">
      <c r="A3357" s="7"/>
      <c r="B3357" s="7"/>
      <c r="C3357" s="7"/>
      <c r="D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</row>
    <row r="3358">
      <c r="A3358" s="7"/>
      <c r="B3358" s="7"/>
      <c r="C3358" s="7"/>
      <c r="D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</row>
    <row r="3359">
      <c r="A3359" s="7"/>
      <c r="B3359" s="7"/>
      <c r="C3359" s="7"/>
      <c r="D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</row>
    <row r="3360">
      <c r="A3360" s="7"/>
      <c r="B3360" s="7"/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</row>
    <row r="3361">
      <c r="A3361" s="7"/>
      <c r="B3361" s="7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</row>
    <row r="3362">
      <c r="A3362" s="7"/>
      <c r="B3362" s="7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</row>
    <row r="3363">
      <c r="A3363" s="7"/>
      <c r="B3363" s="7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</row>
    <row r="3364">
      <c r="A3364" s="7"/>
      <c r="B3364" s="7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</row>
    <row r="3365">
      <c r="A3365" s="7"/>
      <c r="B3365" s="7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</row>
    <row r="3366">
      <c r="A3366" s="7"/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</row>
    <row r="3367">
      <c r="A3367" s="7"/>
      <c r="B3367" s="7"/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</row>
    <row r="3368">
      <c r="A3368" s="7"/>
      <c r="B3368" s="7"/>
      <c r="C3368" s="7"/>
      <c r="D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</row>
    <row r="3369">
      <c r="A3369" s="7"/>
      <c r="B3369" s="7"/>
      <c r="C3369" s="7"/>
      <c r="D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</row>
    <row r="3370">
      <c r="A3370" s="7"/>
      <c r="B3370" s="7"/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</row>
    <row r="3371">
      <c r="A3371" s="7"/>
      <c r="B3371" s="7"/>
      <c r="C3371" s="7"/>
      <c r="D3371" s="7"/>
      <c r="E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</row>
    <row r="3372">
      <c r="A3372" s="7"/>
      <c r="B3372" s="7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</row>
    <row r="3373">
      <c r="A3373" s="7"/>
      <c r="B3373" s="7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</row>
    <row r="3374">
      <c r="A3374" s="7"/>
      <c r="B3374" s="7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</row>
    <row r="3375">
      <c r="A3375" s="7"/>
      <c r="B3375" s="7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</row>
    <row r="3376">
      <c r="A3376" s="7"/>
      <c r="B3376" s="7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</row>
    <row r="3377">
      <c r="A3377" s="7"/>
      <c r="B3377" s="7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</row>
    <row r="3378">
      <c r="A3378" s="7"/>
      <c r="B3378" s="7"/>
      <c r="C3378" s="7"/>
      <c r="D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</row>
    <row r="3379">
      <c r="A3379" s="7"/>
      <c r="B3379" s="7"/>
      <c r="C3379" s="7"/>
      <c r="D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</row>
    <row r="3380">
      <c r="A3380" s="7"/>
      <c r="B3380" s="7"/>
      <c r="C3380" s="7"/>
      <c r="D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</row>
    <row r="3381">
      <c r="A3381" s="7"/>
      <c r="B3381" s="7"/>
      <c r="C3381" s="7"/>
      <c r="D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</row>
    <row r="3382">
      <c r="A3382" s="7"/>
      <c r="B3382" s="7"/>
      <c r="C3382" s="7"/>
      <c r="D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</row>
    <row r="3383">
      <c r="A3383" s="7"/>
      <c r="B3383" s="7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</row>
    <row r="3384">
      <c r="A3384" s="7"/>
      <c r="B3384" s="7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</row>
    <row r="3385">
      <c r="A3385" s="7"/>
      <c r="B3385" s="7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</row>
    <row r="3386">
      <c r="A3386" s="7"/>
      <c r="B3386" s="7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</row>
    <row r="3387">
      <c r="A3387" s="7"/>
      <c r="B3387" s="7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</row>
    <row r="3388">
      <c r="A3388" s="7"/>
      <c r="B3388" s="7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</row>
    <row r="3389">
      <c r="A3389" s="7"/>
      <c r="B3389" s="7"/>
      <c r="C3389" s="7"/>
      <c r="D3389" s="7"/>
      <c r="E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</row>
    <row r="3390">
      <c r="A3390" s="7"/>
      <c r="B3390" s="7"/>
      <c r="C3390" s="7"/>
      <c r="D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</row>
    <row r="3391">
      <c r="A3391" s="7"/>
      <c r="B3391" s="7"/>
      <c r="C3391" s="7"/>
      <c r="D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</row>
    <row r="3392">
      <c r="A3392" s="7"/>
      <c r="B3392" s="7"/>
      <c r="C3392" s="7"/>
      <c r="D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</row>
    <row r="3393">
      <c r="A3393" s="7"/>
      <c r="B3393" s="7"/>
      <c r="C3393" s="7"/>
      <c r="D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</row>
    <row r="3394">
      <c r="A3394" s="7"/>
      <c r="B3394" s="7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</row>
    <row r="3395">
      <c r="A3395" s="7"/>
      <c r="B3395" s="7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</row>
    <row r="3396">
      <c r="A3396" s="7"/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</row>
    <row r="3397">
      <c r="A3397" s="7"/>
      <c r="B3397" s="7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</row>
    <row r="3398">
      <c r="A3398" s="7"/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</row>
    <row r="3399">
      <c r="A3399" s="7"/>
      <c r="B3399" s="7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</row>
    <row r="3400">
      <c r="A3400" s="7"/>
      <c r="B3400" s="7"/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</row>
    <row r="3401">
      <c r="A3401" s="7"/>
      <c r="B3401" s="7"/>
      <c r="C3401" s="7"/>
      <c r="D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</row>
    <row r="3402">
      <c r="A3402" s="7"/>
      <c r="B3402" s="7"/>
      <c r="C3402" s="7"/>
      <c r="D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</row>
    <row r="3403">
      <c r="A3403" s="7"/>
      <c r="B3403" s="7"/>
      <c r="C3403" s="7"/>
      <c r="D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</row>
    <row r="3404">
      <c r="A3404" s="7"/>
      <c r="B3404" s="7"/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</row>
    <row r="3405">
      <c r="A3405" s="7"/>
      <c r="B3405" s="7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</row>
    <row r="3406">
      <c r="A3406" s="7"/>
      <c r="B3406" s="7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</row>
    <row r="3407">
      <c r="A3407" s="7"/>
      <c r="B3407" s="7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</row>
    <row r="3408">
      <c r="A3408" s="7"/>
      <c r="B3408" s="7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</row>
    <row r="3409">
      <c r="A3409" s="7"/>
      <c r="B3409" s="7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</row>
    <row r="3410">
      <c r="A3410" s="7"/>
      <c r="B3410" s="7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</row>
    <row r="3411">
      <c r="A3411" s="7"/>
      <c r="B3411" s="7"/>
      <c r="C3411" s="7"/>
      <c r="D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</row>
    <row r="3412">
      <c r="A3412" s="7"/>
      <c r="B3412" s="7"/>
      <c r="C3412" s="7"/>
      <c r="D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</row>
    <row r="3413">
      <c r="A3413" s="7"/>
      <c r="B3413" s="7"/>
      <c r="C3413" s="7"/>
      <c r="D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</row>
    <row r="3414">
      <c r="A3414" s="7"/>
      <c r="B3414" s="7"/>
      <c r="C3414" s="7"/>
      <c r="D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</row>
    <row r="3415">
      <c r="A3415" s="7"/>
      <c r="B3415" s="7"/>
      <c r="C3415" s="7"/>
      <c r="D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</row>
    <row r="3416">
      <c r="A3416" s="7"/>
      <c r="B3416" s="7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</row>
    <row r="3417">
      <c r="A3417" s="7"/>
      <c r="B3417" s="7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</row>
    <row r="3418">
      <c r="A3418" s="7"/>
      <c r="B3418" s="7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</row>
    <row r="3419">
      <c r="A3419" s="7"/>
      <c r="B3419" s="7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</row>
    <row r="3420">
      <c r="A3420" s="7"/>
      <c r="B3420" s="7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</row>
    <row r="3421">
      <c r="A3421" s="7"/>
      <c r="B3421" s="7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</row>
    <row r="3422">
      <c r="A3422" s="7"/>
      <c r="B3422" s="7"/>
      <c r="C3422" s="7"/>
      <c r="D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</row>
    <row r="3423">
      <c r="A3423" s="7"/>
      <c r="B3423" s="7"/>
      <c r="C3423" s="7"/>
      <c r="D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</row>
    <row r="3424">
      <c r="A3424" s="7"/>
      <c r="B3424" s="7"/>
      <c r="C3424" s="7"/>
      <c r="D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</row>
    <row r="3425">
      <c r="A3425" s="7"/>
      <c r="B3425" s="7"/>
      <c r="C3425" s="7"/>
      <c r="D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</row>
    <row r="3426">
      <c r="A3426" s="7"/>
      <c r="B3426" s="7"/>
      <c r="C3426" s="7"/>
      <c r="D3426" s="7"/>
      <c r="E3426" s="7"/>
      <c r="F3426" s="7"/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</row>
    <row r="3427">
      <c r="A3427" s="7"/>
      <c r="B3427" s="7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</row>
    <row r="3428">
      <c r="A3428" s="7"/>
      <c r="B3428" s="7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</row>
    <row r="3429">
      <c r="A3429" s="7"/>
      <c r="B3429" s="7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</row>
    <row r="3430">
      <c r="A3430" s="7"/>
      <c r="B3430" s="7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</row>
    <row r="3431">
      <c r="A3431" s="7"/>
      <c r="B3431" s="7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</row>
    <row r="3432">
      <c r="A3432" s="7"/>
      <c r="B3432" s="7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</row>
    <row r="3433">
      <c r="A3433" s="7"/>
      <c r="B3433" s="7"/>
      <c r="C3433" s="7"/>
      <c r="D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</row>
    <row r="3434">
      <c r="A3434" s="7"/>
      <c r="B3434" s="7"/>
      <c r="C3434" s="7"/>
      <c r="D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</row>
    <row r="3435">
      <c r="A3435" s="7"/>
      <c r="B3435" s="7"/>
      <c r="C3435" s="7"/>
      <c r="D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</row>
    <row r="3436">
      <c r="A3436" s="7"/>
      <c r="B3436" s="7"/>
      <c r="C3436" s="7"/>
      <c r="D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</row>
    <row r="3437">
      <c r="A3437" s="7"/>
      <c r="B3437" s="7"/>
      <c r="C3437" s="7"/>
      <c r="D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</row>
    <row r="3438">
      <c r="A3438" s="7"/>
      <c r="B3438" s="7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</row>
    <row r="3439">
      <c r="A3439" s="7"/>
      <c r="B3439" s="7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</row>
    <row r="3440">
      <c r="A3440" s="7"/>
      <c r="B3440" s="7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</row>
    <row r="3441">
      <c r="A3441" s="7"/>
      <c r="B3441" s="7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</row>
    <row r="3442">
      <c r="A3442" s="7"/>
      <c r="B3442" s="7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</row>
    <row r="3443">
      <c r="A3443" s="7"/>
      <c r="B3443" s="7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</row>
    <row r="3444">
      <c r="A3444" s="7"/>
      <c r="B3444" s="7"/>
      <c r="C3444" s="7"/>
      <c r="D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</row>
    <row r="3445">
      <c r="A3445" s="7"/>
      <c r="B3445" s="7"/>
      <c r="C3445" s="7"/>
      <c r="D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</row>
    <row r="3446">
      <c r="A3446" s="7"/>
      <c r="B3446" s="7"/>
      <c r="C3446" s="7"/>
      <c r="D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</row>
    <row r="3447">
      <c r="A3447" s="7"/>
      <c r="B3447" s="7"/>
      <c r="C3447" s="7"/>
      <c r="D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</row>
    <row r="3448">
      <c r="A3448" s="7"/>
      <c r="B3448" s="7"/>
      <c r="C3448" s="7"/>
      <c r="D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</row>
    <row r="3449">
      <c r="A3449" s="7"/>
      <c r="B3449" s="7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</row>
    <row r="3450">
      <c r="A3450" s="7"/>
      <c r="B3450" s="7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</row>
    <row r="3451">
      <c r="A3451" s="7"/>
      <c r="B3451" s="7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</row>
    <row r="3452">
      <c r="A3452" s="7"/>
      <c r="B3452" s="7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</row>
    <row r="3453">
      <c r="A3453" s="7"/>
      <c r="B3453" s="7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</row>
    <row r="3454">
      <c r="A3454" s="7"/>
      <c r="B3454" s="7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</row>
    <row r="3455">
      <c r="A3455" s="7"/>
      <c r="B3455" s="7"/>
      <c r="C3455" s="7"/>
      <c r="D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</row>
    <row r="3456">
      <c r="A3456" s="7"/>
      <c r="B3456" s="7"/>
      <c r="C3456" s="7"/>
      <c r="D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</row>
    <row r="3457">
      <c r="A3457" s="7"/>
      <c r="B3457" s="7"/>
      <c r="C3457" s="7"/>
      <c r="D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</row>
    <row r="3458">
      <c r="A3458" s="7"/>
      <c r="B3458" s="7"/>
      <c r="C3458" s="7"/>
      <c r="D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</row>
    <row r="3459">
      <c r="A3459" s="7"/>
      <c r="B3459" s="7"/>
      <c r="C3459" s="7"/>
      <c r="D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</row>
    <row r="3460">
      <c r="A3460" s="7"/>
      <c r="B3460" s="7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</row>
    <row r="3461">
      <c r="A3461" s="7"/>
      <c r="B3461" s="7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</row>
    <row r="3462">
      <c r="A3462" s="7"/>
      <c r="B3462" s="7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</row>
    <row r="3463">
      <c r="A3463" s="7"/>
      <c r="B3463" s="7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</row>
    <row r="3464">
      <c r="A3464" s="7"/>
      <c r="B3464" s="7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</row>
    <row r="3465">
      <c r="A3465" s="7"/>
      <c r="B3465" s="7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</row>
    <row r="3466">
      <c r="A3466" s="7"/>
      <c r="B3466" s="7"/>
      <c r="C3466" s="7"/>
      <c r="D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</row>
    <row r="3467">
      <c r="A3467" s="7"/>
      <c r="B3467" s="7"/>
      <c r="C3467" s="7"/>
      <c r="D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</row>
    <row r="3468">
      <c r="A3468" s="7"/>
      <c r="B3468" s="7"/>
      <c r="C3468" s="7"/>
      <c r="D3468" s="7"/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</row>
    <row r="3469">
      <c r="A3469" s="7"/>
      <c r="B3469" s="7"/>
      <c r="C3469" s="7"/>
      <c r="D3469" s="7"/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</row>
    <row r="3470">
      <c r="A3470" s="7"/>
      <c r="B3470" s="7"/>
      <c r="C3470" s="7"/>
      <c r="D3470" s="7"/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</row>
    <row r="3471">
      <c r="A3471" s="7"/>
      <c r="B3471" s="7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</row>
    <row r="3472">
      <c r="A3472" s="7"/>
      <c r="B3472" s="7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</row>
    <row r="3473">
      <c r="A3473" s="7"/>
      <c r="B3473" s="7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</row>
    <row r="3474">
      <c r="A3474" s="7"/>
      <c r="B3474" s="7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</row>
    <row r="3475">
      <c r="A3475" s="7"/>
      <c r="B3475" s="7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</row>
    <row r="3476">
      <c r="A3476" s="7"/>
      <c r="B3476" s="7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</row>
    <row r="3477">
      <c r="A3477" s="7"/>
      <c r="B3477" s="7"/>
      <c r="C3477" s="7"/>
      <c r="D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</row>
    <row r="3478">
      <c r="A3478" s="7"/>
      <c r="B3478" s="7"/>
      <c r="C3478" s="7"/>
      <c r="D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</row>
    <row r="3479">
      <c r="A3479" s="7"/>
      <c r="B3479" s="7"/>
      <c r="C3479" s="7"/>
      <c r="D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</row>
    <row r="3480">
      <c r="A3480" s="7"/>
      <c r="B3480" s="7"/>
      <c r="C3480" s="7"/>
      <c r="D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</row>
    <row r="3481">
      <c r="A3481" s="7"/>
      <c r="B3481" s="7"/>
      <c r="C3481" s="7"/>
      <c r="D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</row>
    <row r="3482">
      <c r="A3482" s="7"/>
      <c r="B3482" s="7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</row>
    <row r="3483">
      <c r="A3483" s="7"/>
      <c r="B3483" s="7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</row>
    <row r="3484">
      <c r="A3484" s="7"/>
      <c r="B3484" s="7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</row>
    <row r="3485">
      <c r="A3485" s="7"/>
      <c r="B3485" s="7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</row>
    <row r="3486">
      <c r="A3486" s="7"/>
      <c r="B3486" s="7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</row>
    <row r="3487">
      <c r="A3487" s="7"/>
      <c r="B3487" s="7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</row>
    <row r="3488">
      <c r="A3488" s="7"/>
      <c r="B3488" s="7"/>
      <c r="C3488" s="7"/>
      <c r="D3488" s="7"/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</row>
    <row r="3489">
      <c r="A3489" s="7"/>
      <c r="B3489" s="7"/>
      <c r="C3489" s="7"/>
      <c r="D3489" s="7"/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</row>
    <row r="3490">
      <c r="A3490" s="7"/>
      <c r="B3490" s="7"/>
      <c r="C3490" s="7"/>
      <c r="D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</row>
    <row r="3491">
      <c r="A3491" s="7"/>
      <c r="B3491" s="7"/>
      <c r="C3491" s="7"/>
      <c r="D3491" s="7"/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</row>
    <row r="3492">
      <c r="A3492" s="7"/>
      <c r="B3492" s="7"/>
      <c r="C3492" s="7"/>
      <c r="D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</row>
    <row r="3493">
      <c r="A3493" s="7"/>
      <c r="B3493" s="7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</row>
    <row r="3494">
      <c r="A3494" s="7"/>
      <c r="B3494" s="7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</row>
    <row r="3495">
      <c r="A3495" s="7"/>
      <c r="B3495" s="7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</row>
    <row r="3496">
      <c r="A3496" s="7"/>
      <c r="B3496" s="7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</row>
    <row r="3497">
      <c r="A3497" s="7"/>
      <c r="B3497" s="7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</row>
    <row r="3498">
      <c r="A3498" s="7"/>
      <c r="B3498" s="7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</row>
    <row r="3499">
      <c r="A3499" s="7"/>
      <c r="B3499" s="7"/>
      <c r="C3499" s="7"/>
      <c r="D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</row>
    <row r="3500">
      <c r="A3500" s="7"/>
      <c r="B3500" s="7"/>
      <c r="C3500" s="7"/>
      <c r="D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</row>
    <row r="3501">
      <c r="A3501" s="7"/>
      <c r="B3501" s="7"/>
      <c r="C3501" s="7"/>
      <c r="D3501" s="7"/>
      <c r="E3501" s="7"/>
      <c r="F3501" s="7"/>
      <c r="G3501" s="7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</row>
    <row r="3502">
      <c r="A3502" s="7"/>
      <c r="B3502" s="7"/>
      <c r="C3502" s="7"/>
      <c r="D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</row>
    <row r="3503">
      <c r="A3503" s="7"/>
      <c r="B3503" s="7"/>
      <c r="C3503" s="7"/>
      <c r="D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</row>
    <row r="3504">
      <c r="A3504" s="7"/>
      <c r="B3504" s="7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</row>
    <row r="3505">
      <c r="A3505" s="7"/>
      <c r="B3505" s="7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</row>
    <row r="3506">
      <c r="A3506" s="7"/>
      <c r="B3506" s="7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</row>
    <row r="3507">
      <c r="A3507" s="7"/>
      <c r="B3507" s="7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</row>
    <row r="3508">
      <c r="A3508" s="7"/>
      <c r="B3508" s="7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</row>
    <row r="3509">
      <c r="A3509" s="7"/>
      <c r="B3509" s="7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</row>
    <row r="3510">
      <c r="A3510" s="7"/>
      <c r="B3510" s="7"/>
      <c r="C3510" s="7"/>
      <c r="D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</row>
    <row r="3511">
      <c r="A3511" s="7"/>
      <c r="B3511" s="7"/>
      <c r="C3511" s="7"/>
      <c r="D3511" s="7"/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</row>
    <row r="3512">
      <c r="A3512" s="7"/>
      <c r="B3512" s="7"/>
      <c r="C3512" s="7"/>
      <c r="D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</row>
    <row r="3513">
      <c r="A3513" s="7"/>
      <c r="B3513" s="7"/>
      <c r="C3513" s="7"/>
      <c r="D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</row>
    <row r="3514">
      <c r="A3514" s="7"/>
      <c r="B3514" s="7"/>
      <c r="C3514" s="7"/>
      <c r="D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</row>
    <row r="3515">
      <c r="A3515" s="7"/>
      <c r="B3515" s="7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</row>
    <row r="3516">
      <c r="A3516" s="7"/>
      <c r="B3516" s="7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</row>
    <row r="3517">
      <c r="A3517" s="7"/>
      <c r="B3517" s="7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</row>
    <row r="3518">
      <c r="A3518" s="7"/>
      <c r="B3518" s="7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</row>
    <row r="3519">
      <c r="A3519" s="7"/>
      <c r="B3519" s="7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</row>
    <row r="3520">
      <c r="A3520" s="7"/>
      <c r="B3520" s="7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</row>
    <row r="3521">
      <c r="A3521" s="7"/>
      <c r="B3521" s="7"/>
      <c r="C3521" s="7"/>
      <c r="D3521" s="7"/>
      <c r="E3521" s="7"/>
      <c r="F3521" s="7"/>
      <c r="G3521" s="7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</row>
    <row r="3522">
      <c r="A3522" s="7"/>
      <c r="B3522" s="7"/>
      <c r="C3522" s="7"/>
      <c r="D3522" s="7"/>
      <c r="E3522" s="7"/>
      <c r="F3522" s="7"/>
      <c r="G3522" s="7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</row>
    <row r="3523">
      <c r="A3523" s="7"/>
      <c r="B3523" s="7"/>
      <c r="C3523" s="7"/>
      <c r="D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</row>
    <row r="3524">
      <c r="A3524" s="7"/>
      <c r="B3524" s="7"/>
      <c r="C3524" s="7"/>
      <c r="D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</row>
    <row r="3525">
      <c r="A3525" s="7"/>
      <c r="B3525" s="7"/>
      <c r="C3525" s="7"/>
      <c r="D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</row>
    <row r="3526">
      <c r="A3526" s="7"/>
      <c r="B3526" s="7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</row>
    <row r="3527">
      <c r="A3527" s="7"/>
      <c r="B3527" s="7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</row>
    <row r="3528">
      <c r="A3528" s="7"/>
      <c r="B3528" s="7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</row>
    <row r="3529">
      <c r="A3529" s="7"/>
      <c r="B3529" s="7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</row>
    <row r="3530">
      <c r="A3530" s="7"/>
      <c r="B3530" s="7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</row>
    <row r="3531">
      <c r="A3531" s="7"/>
      <c r="B3531" s="7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</row>
    <row r="3532">
      <c r="A3532" s="7"/>
      <c r="B3532" s="7"/>
      <c r="C3532" s="7"/>
      <c r="D3532" s="7"/>
      <c r="E3532" s="7"/>
      <c r="F3532" s="7"/>
      <c r="G3532" s="7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</row>
    <row r="3533">
      <c r="A3533" s="7"/>
      <c r="B3533" s="7"/>
      <c r="C3533" s="7"/>
      <c r="D3533" s="7"/>
      <c r="E3533" s="7"/>
      <c r="F3533" s="7"/>
      <c r="G3533" s="7"/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</row>
    <row r="3534">
      <c r="A3534" s="7"/>
      <c r="B3534" s="7"/>
      <c r="C3534" s="7"/>
      <c r="D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</row>
    <row r="3535">
      <c r="A3535" s="7"/>
      <c r="B3535" s="7"/>
      <c r="C3535" s="7"/>
      <c r="D3535" s="7"/>
      <c r="E3535" s="7"/>
      <c r="F3535" s="7"/>
      <c r="G3535" s="7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</row>
    <row r="3536">
      <c r="A3536" s="7"/>
      <c r="B3536" s="7"/>
      <c r="C3536" s="7"/>
      <c r="D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</row>
    <row r="3537">
      <c r="A3537" s="7"/>
      <c r="B3537" s="7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</row>
    <row r="3538">
      <c r="A3538" s="7"/>
      <c r="B3538" s="7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</row>
    <row r="3539">
      <c r="A3539" s="7"/>
      <c r="B3539" s="7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</row>
    <row r="3540">
      <c r="A3540" s="7"/>
      <c r="B3540" s="7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</row>
    <row r="3541">
      <c r="A3541" s="7"/>
      <c r="B3541" s="7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</row>
    <row r="3542">
      <c r="A3542" s="7"/>
      <c r="B3542" s="7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</row>
    <row r="3543">
      <c r="A3543" s="7"/>
      <c r="B3543" s="7"/>
      <c r="C3543" s="7"/>
      <c r="D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</row>
    <row r="3544">
      <c r="A3544" s="7"/>
      <c r="B3544" s="7"/>
      <c r="C3544" s="7"/>
      <c r="D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</row>
    <row r="3545">
      <c r="A3545" s="7"/>
      <c r="B3545" s="7"/>
      <c r="C3545" s="7"/>
      <c r="D3545" s="7"/>
      <c r="E3545" s="7"/>
      <c r="F3545" s="7"/>
      <c r="G3545" s="7"/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</row>
    <row r="3546">
      <c r="A3546" s="7"/>
      <c r="B3546" s="7"/>
      <c r="C3546" s="7"/>
      <c r="D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</row>
    <row r="3547">
      <c r="A3547" s="7"/>
      <c r="B3547" s="7"/>
      <c r="C3547" s="7"/>
      <c r="D3547" s="7"/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</row>
    <row r="3548">
      <c r="A3548" s="7"/>
      <c r="B3548" s="7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</row>
    <row r="3549">
      <c r="A3549" s="7"/>
      <c r="B3549" s="7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</row>
    <row r="3550">
      <c r="A3550" s="7"/>
      <c r="B3550" s="7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</row>
    <row r="3551">
      <c r="A3551" s="7"/>
      <c r="B3551" s="7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</row>
    <row r="3552">
      <c r="A3552" s="7"/>
      <c r="B3552" s="7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</row>
    <row r="3553">
      <c r="A3553" s="7"/>
      <c r="B3553" s="7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</row>
    <row r="3554">
      <c r="A3554" s="7"/>
      <c r="B3554" s="7"/>
      <c r="C3554" s="7"/>
      <c r="D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</row>
    <row r="3555">
      <c r="A3555" s="7"/>
      <c r="B3555" s="7"/>
      <c r="C3555" s="7"/>
      <c r="D3555" s="7"/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</row>
    <row r="3556">
      <c r="A3556" s="7"/>
      <c r="B3556" s="7"/>
      <c r="C3556" s="7"/>
      <c r="D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</row>
    <row r="3557">
      <c r="A3557" s="7"/>
      <c r="B3557" s="7"/>
      <c r="C3557" s="7"/>
      <c r="D3557" s="7"/>
      <c r="E3557" s="7"/>
      <c r="F3557" s="7"/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</row>
    <row r="3558">
      <c r="A3558" s="7"/>
      <c r="B3558" s="7"/>
      <c r="C3558" s="7"/>
      <c r="D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</row>
    <row r="3559">
      <c r="A3559" s="7"/>
      <c r="B3559" s="7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</row>
    <row r="3560">
      <c r="A3560" s="7"/>
      <c r="B3560" s="7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</row>
    <row r="3561">
      <c r="A3561" s="7"/>
      <c r="B3561" s="7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</row>
    <row r="3562">
      <c r="A3562" s="7"/>
      <c r="B3562" s="7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</row>
    <row r="3563">
      <c r="A3563" s="7"/>
      <c r="B3563" s="7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</row>
    <row r="3564">
      <c r="A3564" s="7"/>
      <c r="B3564" s="7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</row>
    <row r="3565">
      <c r="A3565" s="7"/>
      <c r="B3565" s="7"/>
      <c r="C3565" s="7"/>
      <c r="D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</row>
    <row r="3566">
      <c r="A3566" s="7"/>
      <c r="B3566" s="7"/>
      <c r="C3566" s="7"/>
      <c r="D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</row>
    <row r="3567">
      <c r="A3567" s="7"/>
      <c r="B3567" s="7"/>
      <c r="C3567" s="7"/>
      <c r="D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</row>
    <row r="3568">
      <c r="A3568" s="7"/>
      <c r="B3568" s="7"/>
      <c r="C3568" s="7"/>
      <c r="D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</row>
    <row r="3569">
      <c r="A3569" s="7"/>
      <c r="B3569" s="7"/>
      <c r="C3569" s="7"/>
      <c r="D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</row>
    <row r="3570">
      <c r="A3570" s="7"/>
      <c r="B3570" s="7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</row>
    <row r="3571">
      <c r="A3571" s="7"/>
      <c r="B3571" s="7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</row>
    <row r="3572">
      <c r="A3572" s="7"/>
      <c r="B3572" s="7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</row>
    <row r="3573">
      <c r="A3573" s="7"/>
      <c r="B3573" s="7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</row>
    <row r="3574">
      <c r="A3574" s="7"/>
      <c r="B3574" s="7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</row>
    <row r="3575">
      <c r="A3575" s="7"/>
      <c r="B3575" s="7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</row>
    <row r="3576">
      <c r="A3576" s="7"/>
      <c r="B3576" s="7"/>
      <c r="C3576" s="7"/>
      <c r="D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</row>
    <row r="3577">
      <c r="A3577" s="7"/>
      <c r="B3577" s="7"/>
      <c r="C3577" s="7"/>
      <c r="D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</row>
    <row r="3578">
      <c r="A3578" s="7"/>
      <c r="B3578" s="7"/>
      <c r="C3578" s="7"/>
      <c r="D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</row>
    <row r="3579">
      <c r="A3579" s="7"/>
      <c r="B3579" s="7"/>
      <c r="C3579" s="7"/>
      <c r="D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</row>
    <row r="3580">
      <c r="A3580" s="7"/>
      <c r="B3580" s="7"/>
      <c r="C3580" s="7"/>
      <c r="D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</row>
    <row r="3581">
      <c r="A3581" s="7"/>
      <c r="B3581" s="7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</row>
    <row r="3582">
      <c r="A3582" s="7"/>
      <c r="B3582" s="7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</row>
    <row r="3583">
      <c r="A3583" s="7"/>
      <c r="B3583" s="7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</row>
    <row r="3584">
      <c r="A3584" s="7"/>
      <c r="B3584" s="7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</row>
    <row r="3585">
      <c r="A3585" s="7"/>
      <c r="B3585" s="7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</row>
    <row r="3586">
      <c r="A3586" s="7"/>
      <c r="B3586" s="7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</row>
    <row r="3587">
      <c r="A3587" s="7"/>
      <c r="B3587" s="7"/>
      <c r="C3587" s="7"/>
      <c r="D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</row>
    <row r="3588">
      <c r="A3588" s="7"/>
      <c r="B3588" s="7"/>
      <c r="C3588" s="7"/>
      <c r="D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</row>
    <row r="3589">
      <c r="A3589" s="7"/>
      <c r="B3589" s="7"/>
      <c r="C3589" s="7"/>
      <c r="D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</row>
    <row r="3590">
      <c r="A3590" s="7"/>
      <c r="B3590" s="7"/>
      <c r="C3590" s="7"/>
      <c r="D3590" s="7"/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</row>
    <row r="3591">
      <c r="A3591" s="7"/>
      <c r="B3591" s="7"/>
      <c r="C3591" s="7"/>
      <c r="D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</row>
    <row r="3592">
      <c r="A3592" s="7"/>
      <c r="B3592" s="7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</row>
    <row r="3593">
      <c r="A3593" s="7"/>
      <c r="B3593" s="7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</row>
    <row r="3594">
      <c r="A3594" s="7"/>
      <c r="B3594" s="7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</row>
    <row r="3595">
      <c r="A3595" s="7"/>
      <c r="B3595" s="7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</row>
    <row r="3596">
      <c r="A3596" s="7"/>
      <c r="B3596" s="7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</row>
    <row r="3597">
      <c r="A3597" s="7"/>
      <c r="B3597" s="7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</row>
    <row r="3598">
      <c r="A3598" s="7"/>
      <c r="B3598" s="7"/>
      <c r="C3598" s="7"/>
      <c r="D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</row>
    <row r="3599">
      <c r="A3599" s="7"/>
      <c r="B3599" s="7"/>
      <c r="C3599" s="7"/>
      <c r="D3599" s="7"/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</row>
    <row r="3600">
      <c r="A3600" s="7"/>
      <c r="B3600" s="7"/>
      <c r="C3600" s="7"/>
      <c r="D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</row>
    <row r="3601">
      <c r="A3601" s="7"/>
      <c r="B3601" s="7"/>
      <c r="C3601" s="7"/>
      <c r="D3601" s="7"/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</row>
    <row r="3602">
      <c r="A3602" s="7"/>
      <c r="B3602" s="7"/>
      <c r="C3602" s="7"/>
      <c r="D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</row>
    <row r="3603">
      <c r="A3603" s="7"/>
      <c r="B3603" s="7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</row>
    <row r="3604">
      <c r="A3604" s="7"/>
      <c r="B3604" s="7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</row>
    <row r="3605">
      <c r="A3605" s="7"/>
      <c r="B3605" s="7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</row>
    <row r="3606">
      <c r="A3606" s="7"/>
      <c r="B3606" s="7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</row>
    <row r="3607">
      <c r="A3607" s="7"/>
      <c r="B3607" s="7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</row>
    <row r="3608">
      <c r="A3608" s="7"/>
      <c r="B3608" s="7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</row>
    <row r="3609">
      <c r="A3609" s="7"/>
      <c r="B3609" s="7"/>
      <c r="C3609" s="7"/>
      <c r="D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</row>
    <row r="3610">
      <c r="A3610" s="7"/>
      <c r="B3610" s="7"/>
      <c r="C3610" s="7"/>
      <c r="D3610" s="7"/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</row>
    <row r="3611">
      <c r="A3611" s="7"/>
      <c r="B3611" s="7"/>
      <c r="C3611" s="7"/>
      <c r="D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</row>
    <row r="3612">
      <c r="A3612" s="7"/>
      <c r="B3612" s="7"/>
      <c r="C3612" s="7"/>
      <c r="D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</row>
    <row r="3613">
      <c r="A3613" s="7"/>
      <c r="B3613" s="7"/>
      <c r="C3613" s="7"/>
      <c r="D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</row>
    <row r="3614">
      <c r="A3614" s="7"/>
      <c r="B3614" s="7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</row>
    <row r="3615">
      <c r="A3615" s="7"/>
      <c r="B3615" s="7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</row>
    <row r="3616">
      <c r="A3616" s="7"/>
      <c r="B3616" s="7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</row>
    <row r="3617">
      <c r="A3617" s="7"/>
      <c r="B3617" s="7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</row>
    <row r="3618">
      <c r="A3618" s="7"/>
      <c r="B3618" s="7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</row>
    <row r="3619">
      <c r="A3619" s="7"/>
      <c r="B3619" s="7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</row>
    <row r="3620">
      <c r="A3620" s="7"/>
      <c r="B3620" s="7"/>
      <c r="C3620" s="7"/>
      <c r="D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</row>
    <row r="3621">
      <c r="A3621" s="7"/>
      <c r="B3621" s="7"/>
      <c r="C3621" s="7"/>
      <c r="D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</row>
    <row r="3622">
      <c r="A3622" s="7"/>
      <c r="B3622" s="7"/>
      <c r="C3622" s="7"/>
      <c r="D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</row>
    <row r="3623">
      <c r="A3623" s="7"/>
      <c r="B3623" s="7"/>
      <c r="C3623" s="7"/>
      <c r="D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</row>
    <row r="3624">
      <c r="A3624" s="7"/>
      <c r="B3624" s="7"/>
      <c r="C3624" s="7"/>
      <c r="D3624" s="7"/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</row>
    <row r="3625">
      <c r="A3625" s="7"/>
      <c r="B3625" s="7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</row>
    <row r="3626">
      <c r="A3626" s="7"/>
      <c r="B3626" s="7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</row>
    <row r="3627">
      <c r="A3627" s="7"/>
      <c r="B3627" s="7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</row>
    <row r="3628">
      <c r="A3628" s="7"/>
      <c r="B3628" s="7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</row>
    <row r="3629">
      <c r="A3629" s="7"/>
      <c r="B3629" s="7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</row>
    <row r="3630">
      <c r="A3630" s="7"/>
      <c r="B3630" s="7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</row>
    <row r="3631">
      <c r="A3631" s="7"/>
      <c r="B3631" s="7"/>
      <c r="C3631" s="7"/>
      <c r="D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</row>
    <row r="3632">
      <c r="A3632" s="7"/>
      <c r="B3632" s="7"/>
      <c r="C3632" s="7"/>
      <c r="D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</row>
    <row r="3633">
      <c r="A3633" s="7"/>
      <c r="B3633" s="7"/>
      <c r="C3633" s="7"/>
      <c r="D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</row>
    <row r="3634">
      <c r="A3634" s="7"/>
      <c r="B3634" s="7"/>
      <c r="C3634" s="7"/>
      <c r="D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</row>
    <row r="3635">
      <c r="A3635" s="7"/>
      <c r="B3635" s="7"/>
      <c r="C3635" s="7"/>
      <c r="D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</row>
    <row r="3636">
      <c r="A3636" s="7"/>
      <c r="B3636" s="7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</row>
    <row r="3637">
      <c r="A3637" s="7"/>
      <c r="B3637" s="7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</row>
    <row r="3638">
      <c r="A3638" s="7"/>
      <c r="B3638" s="7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</row>
    <row r="3639">
      <c r="A3639" s="7"/>
      <c r="B3639" s="7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</row>
    <row r="3640">
      <c r="A3640" s="7"/>
      <c r="B3640" s="7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</row>
    <row r="3641">
      <c r="A3641" s="7"/>
      <c r="B3641" s="7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</row>
    <row r="3642">
      <c r="A3642" s="7"/>
      <c r="B3642" s="7"/>
      <c r="C3642" s="7"/>
      <c r="D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</row>
    <row r="3643">
      <c r="A3643" s="7"/>
      <c r="B3643" s="7"/>
      <c r="C3643" s="7"/>
      <c r="D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</row>
    <row r="3644">
      <c r="A3644" s="7"/>
      <c r="B3644" s="7"/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</row>
    <row r="3645">
      <c r="A3645" s="7"/>
      <c r="B3645" s="7"/>
      <c r="C3645" s="7"/>
      <c r="D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</row>
    <row r="3646">
      <c r="A3646" s="7"/>
      <c r="B3646" s="7"/>
      <c r="C3646" s="7"/>
      <c r="D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</row>
    <row r="3647">
      <c r="A3647" s="7"/>
      <c r="B3647" s="7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</row>
    <row r="3648">
      <c r="A3648" s="7"/>
      <c r="B3648" s="7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</row>
    <row r="3649">
      <c r="A3649" s="7"/>
      <c r="B3649" s="7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</row>
    <row r="3650">
      <c r="A3650" s="7"/>
      <c r="B3650" s="7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</row>
    <row r="3651">
      <c r="A3651" s="7"/>
      <c r="B3651" s="7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</row>
    <row r="3652">
      <c r="A3652" s="7"/>
      <c r="B3652" s="7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</row>
    <row r="3653">
      <c r="A3653" s="7"/>
      <c r="B3653" s="7"/>
      <c r="C3653" s="7"/>
      <c r="D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</row>
    <row r="3654">
      <c r="A3654" s="7"/>
      <c r="B3654" s="7"/>
      <c r="C3654" s="7"/>
      <c r="D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</row>
    <row r="3655">
      <c r="A3655" s="7"/>
      <c r="B3655" s="7"/>
      <c r="C3655" s="7"/>
      <c r="D3655" s="7"/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</row>
    <row r="3656">
      <c r="A3656" s="7"/>
      <c r="B3656" s="7"/>
      <c r="C3656" s="7"/>
      <c r="D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</row>
    <row r="3657">
      <c r="A3657" s="7"/>
      <c r="B3657" s="7"/>
      <c r="C3657" s="7"/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</row>
    <row r="3658">
      <c r="A3658" s="7"/>
      <c r="B3658" s="7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</row>
    <row r="3659">
      <c r="A3659" s="7"/>
      <c r="B3659" s="7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</row>
    <row r="3660">
      <c r="A3660" s="7"/>
      <c r="B3660" s="7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</row>
    <row r="3661">
      <c r="A3661" s="7"/>
      <c r="B3661" s="7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</row>
    <row r="3662">
      <c r="A3662" s="7"/>
      <c r="B3662" s="7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</row>
    <row r="3663">
      <c r="A3663" s="7"/>
      <c r="B3663" s="7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</row>
    <row r="3664">
      <c r="A3664" s="7"/>
      <c r="B3664" s="7"/>
      <c r="C3664" s="7"/>
      <c r="D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</row>
    <row r="3665">
      <c r="A3665" s="7"/>
      <c r="B3665" s="7"/>
      <c r="C3665" s="7"/>
      <c r="D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</row>
    <row r="3666">
      <c r="A3666" s="7"/>
      <c r="B3666" s="7"/>
      <c r="C3666" s="7"/>
      <c r="D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</row>
    <row r="3667">
      <c r="A3667" s="7"/>
      <c r="B3667" s="7"/>
      <c r="C3667" s="7"/>
      <c r="D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</row>
    <row r="3668">
      <c r="A3668" s="7"/>
      <c r="B3668" s="7"/>
      <c r="C3668" s="7"/>
      <c r="D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</row>
    <row r="3669">
      <c r="A3669" s="7"/>
      <c r="B3669" s="7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</row>
    <row r="3670">
      <c r="A3670" s="7"/>
      <c r="B3670" s="7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</row>
    <row r="3671">
      <c r="A3671" s="7"/>
      <c r="B3671" s="7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</row>
    <row r="3672">
      <c r="A3672" s="7"/>
      <c r="B3672" s="7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</row>
    <row r="3673">
      <c r="A3673" s="7"/>
      <c r="B3673" s="7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</row>
    <row r="3674">
      <c r="A3674" s="7"/>
      <c r="B3674" s="7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</row>
    <row r="3675">
      <c r="A3675" s="7"/>
      <c r="B3675" s="7"/>
      <c r="C3675" s="7"/>
      <c r="D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</row>
    <row r="3676">
      <c r="A3676" s="7"/>
      <c r="B3676" s="7"/>
      <c r="C3676" s="7"/>
      <c r="D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</row>
    <row r="3677">
      <c r="A3677" s="7"/>
      <c r="B3677" s="7"/>
      <c r="C3677" s="7"/>
      <c r="D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</row>
    <row r="3678">
      <c r="A3678" s="7"/>
      <c r="B3678" s="7"/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</row>
    <row r="3679">
      <c r="A3679" s="7"/>
      <c r="B3679" s="7"/>
      <c r="C3679" s="7"/>
      <c r="D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</row>
    <row r="3680">
      <c r="A3680" s="7"/>
      <c r="B3680" s="7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</row>
    <row r="3681">
      <c r="A3681" s="7"/>
      <c r="B3681" s="7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</row>
    <row r="3682">
      <c r="A3682" s="7"/>
      <c r="B3682" s="7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</row>
    <row r="3683">
      <c r="A3683" s="7"/>
      <c r="B3683" s="7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</row>
    <row r="3684">
      <c r="A3684" s="7"/>
      <c r="B3684" s="7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</row>
    <row r="3685">
      <c r="A3685" s="7"/>
      <c r="B3685" s="7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</row>
    <row r="3686">
      <c r="A3686" s="7"/>
      <c r="B3686" s="7"/>
      <c r="C3686" s="7"/>
      <c r="D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</row>
    <row r="3687">
      <c r="A3687" s="7"/>
      <c r="B3687" s="7"/>
      <c r="C3687" s="7"/>
      <c r="D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</row>
    <row r="3688">
      <c r="A3688" s="7"/>
      <c r="B3688" s="7"/>
      <c r="C3688" s="7"/>
      <c r="D3688" s="7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</row>
    <row r="3689">
      <c r="A3689" s="7"/>
      <c r="B3689" s="7"/>
      <c r="C3689" s="7"/>
      <c r="D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</row>
    <row r="3690">
      <c r="A3690" s="7"/>
      <c r="B3690" s="7"/>
      <c r="C3690" s="7"/>
      <c r="D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</row>
    <row r="3691">
      <c r="A3691" s="7"/>
      <c r="B3691" s="7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</row>
    <row r="3692">
      <c r="A3692" s="7"/>
      <c r="B3692" s="7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</row>
    <row r="3693">
      <c r="A3693" s="7"/>
      <c r="B3693" s="7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</row>
    <row r="3694">
      <c r="A3694" s="7"/>
      <c r="B3694" s="7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</row>
    <row r="3695">
      <c r="A3695" s="7"/>
      <c r="B3695" s="7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</row>
    <row r="3696">
      <c r="A3696" s="7"/>
      <c r="B3696" s="7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</row>
    <row r="3697">
      <c r="A3697" s="7"/>
      <c r="B3697" s="7"/>
      <c r="C3697" s="7"/>
      <c r="D3697" s="7"/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</row>
    <row r="3698">
      <c r="A3698" s="7"/>
      <c r="B3698" s="7"/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</row>
    <row r="3699">
      <c r="A3699" s="7"/>
      <c r="B3699" s="7"/>
      <c r="C3699" s="7"/>
      <c r="D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</row>
    <row r="3700">
      <c r="A3700" s="7"/>
      <c r="B3700" s="7"/>
      <c r="C3700" s="7"/>
      <c r="D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</row>
    <row r="3701">
      <c r="A3701" s="7"/>
      <c r="B3701" s="7"/>
      <c r="C3701" s="7"/>
      <c r="D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</row>
    <row r="3702">
      <c r="A3702" s="7"/>
      <c r="B3702" s="7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</row>
    <row r="3703">
      <c r="A3703" s="7"/>
      <c r="B3703" s="7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</row>
    <row r="3704">
      <c r="A3704" s="7"/>
      <c r="B3704" s="7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</row>
    <row r="3705">
      <c r="A3705" s="7"/>
      <c r="B3705" s="7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</row>
    <row r="3706">
      <c r="A3706" s="7"/>
      <c r="B3706" s="7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</row>
    <row r="3707">
      <c r="A3707" s="7"/>
      <c r="B3707" s="7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</row>
    <row r="3708">
      <c r="A3708" s="7"/>
      <c r="B3708" s="7"/>
      <c r="C3708" s="7"/>
      <c r="D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</row>
    <row r="3709">
      <c r="A3709" s="7"/>
      <c r="B3709" s="7"/>
      <c r="C3709" s="7"/>
      <c r="D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</row>
    <row r="3710">
      <c r="A3710" s="7"/>
      <c r="B3710" s="7"/>
      <c r="C3710" s="7"/>
      <c r="D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</row>
    <row r="3711">
      <c r="A3711" s="7"/>
      <c r="B3711" s="7"/>
      <c r="C3711" s="7"/>
      <c r="D3711" s="7"/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</row>
    <row r="3712">
      <c r="A3712" s="7"/>
      <c r="B3712" s="7"/>
      <c r="C3712" s="7"/>
      <c r="D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</row>
    <row r="3713">
      <c r="A3713" s="7"/>
      <c r="B3713" s="7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</row>
    <row r="3714">
      <c r="A3714" s="7"/>
      <c r="B3714" s="7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</row>
    <row r="3715">
      <c r="A3715" s="7"/>
      <c r="B3715" s="7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</row>
    <row r="3716">
      <c r="A3716" s="7"/>
      <c r="B3716" s="7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</row>
    <row r="3717">
      <c r="A3717" s="7"/>
      <c r="B3717" s="7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</row>
    <row r="3718">
      <c r="A3718" s="7"/>
      <c r="B3718" s="7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</row>
    <row r="3719">
      <c r="A3719" s="7"/>
      <c r="B3719" s="7"/>
      <c r="C3719" s="7"/>
      <c r="D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</row>
    <row r="3720">
      <c r="A3720" s="7"/>
      <c r="B3720" s="7"/>
      <c r="C3720" s="7"/>
      <c r="D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</row>
    <row r="3721">
      <c r="A3721" s="7"/>
      <c r="B3721" s="7"/>
      <c r="C3721" s="7"/>
      <c r="D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</row>
    <row r="3722">
      <c r="A3722" s="7"/>
      <c r="B3722" s="7"/>
      <c r="C3722" s="7"/>
      <c r="D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</row>
    <row r="3723">
      <c r="A3723" s="7"/>
      <c r="B3723" s="7"/>
      <c r="C3723" s="7"/>
      <c r="D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</row>
    <row r="3724">
      <c r="A3724" s="7"/>
      <c r="B3724" s="7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</row>
    <row r="3725">
      <c r="A3725" s="7"/>
      <c r="B3725" s="7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</row>
    <row r="3726">
      <c r="A3726" s="7"/>
      <c r="B3726" s="7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</row>
    <row r="3727">
      <c r="A3727" s="7"/>
      <c r="B3727" s="7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</row>
    <row r="3728">
      <c r="A3728" s="7"/>
      <c r="B3728" s="7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</row>
    <row r="3729">
      <c r="A3729" s="7"/>
      <c r="B3729" s="7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</row>
    <row r="3730">
      <c r="A3730" s="7"/>
      <c r="B3730" s="7"/>
      <c r="C3730" s="7"/>
      <c r="D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</row>
    <row r="3731">
      <c r="A3731" s="7"/>
      <c r="B3731" s="7"/>
      <c r="C3731" s="7"/>
      <c r="D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</row>
    <row r="3732">
      <c r="A3732" s="7"/>
      <c r="B3732" s="7"/>
      <c r="C3732" s="7"/>
      <c r="D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</row>
    <row r="3733">
      <c r="A3733" s="7"/>
      <c r="B3733" s="7"/>
      <c r="C3733" s="7"/>
      <c r="D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</row>
    <row r="3734">
      <c r="A3734" s="7"/>
      <c r="B3734" s="7"/>
      <c r="C3734" s="7"/>
      <c r="D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</row>
    <row r="3735">
      <c r="A3735" s="7"/>
      <c r="B3735" s="7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</row>
    <row r="3736">
      <c r="A3736" s="7"/>
      <c r="B3736" s="7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</row>
    <row r="3737">
      <c r="A3737" s="7"/>
      <c r="B3737" s="7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</row>
    <row r="3738">
      <c r="A3738" s="7"/>
      <c r="B3738" s="7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</row>
    <row r="3739">
      <c r="A3739" s="7"/>
      <c r="B3739" s="7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</row>
    <row r="3740">
      <c r="A3740" s="7"/>
      <c r="B3740" s="7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</row>
    <row r="3741">
      <c r="A3741" s="7"/>
      <c r="B3741" s="7"/>
      <c r="C3741" s="7"/>
      <c r="D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</row>
    <row r="3742">
      <c r="A3742" s="7"/>
      <c r="B3742" s="7"/>
      <c r="C3742" s="7"/>
      <c r="D3742" s="7"/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</row>
    <row r="3743">
      <c r="A3743" s="7"/>
      <c r="B3743" s="7"/>
      <c r="C3743" s="7"/>
      <c r="D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</row>
    <row r="3744">
      <c r="A3744" s="7"/>
      <c r="B3744" s="7"/>
      <c r="C3744" s="7"/>
      <c r="D3744" s="7"/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</row>
    <row r="3745">
      <c r="A3745" s="7"/>
      <c r="B3745" s="7"/>
      <c r="C3745" s="7"/>
      <c r="D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</row>
    <row r="3746">
      <c r="A3746" s="7"/>
      <c r="B3746" s="7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</row>
    <row r="3747">
      <c r="A3747" s="7"/>
      <c r="B3747" s="7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</row>
    <row r="3748">
      <c r="A3748" s="7"/>
      <c r="B3748" s="7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</row>
    <row r="3749">
      <c r="A3749" s="7"/>
      <c r="B3749" s="7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</row>
    <row r="3750">
      <c r="A3750" s="7"/>
      <c r="B3750" s="7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</row>
    <row r="3751">
      <c r="A3751" s="7"/>
      <c r="B3751" s="7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</row>
    <row r="3752">
      <c r="A3752" s="7"/>
      <c r="B3752" s="7"/>
      <c r="C3752" s="7"/>
      <c r="D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</row>
    <row r="3753">
      <c r="A3753" s="7"/>
      <c r="B3753" s="7"/>
      <c r="C3753" s="7"/>
      <c r="D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</row>
    <row r="3754">
      <c r="A3754" s="7"/>
      <c r="B3754" s="7"/>
      <c r="C3754" s="7"/>
      <c r="D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</row>
    <row r="3755">
      <c r="A3755" s="7"/>
      <c r="B3755" s="7"/>
      <c r="C3755" s="7"/>
      <c r="D3755" s="7"/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</row>
    <row r="3756">
      <c r="A3756" s="7"/>
      <c r="B3756" s="7"/>
      <c r="C3756" s="7"/>
      <c r="D3756" s="7"/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</row>
    <row r="3757">
      <c r="A3757" s="7"/>
      <c r="B3757" s="7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</row>
    <row r="3758">
      <c r="A3758" s="7"/>
      <c r="B3758" s="7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</row>
    <row r="3759">
      <c r="A3759" s="7"/>
      <c r="B3759" s="7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</row>
    <row r="3760">
      <c r="A3760" s="7"/>
      <c r="B3760" s="7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</row>
    <row r="3761">
      <c r="A3761" s="7"/>
      <c r="B3761" s="7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</row>
    <row r="3762">
      <c r="A3762" s="7"/>
      <c r="B3762" s="7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</row>
    <row r="3763">
      <c r="A3763" s="7"/>
      <c r="B3763" s="7"/>
      <c r="C3763" s="7"/>
      <c r="D3763" s="7"/>
      <c r="E3763" s="7"/>
      <c r="F3763" s="7"/>
      <c r="G3763" s="7"/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</row>
    <row r="3764">
      <c r="A3764" s="7"/>
      <c r="B3764" s="7"/>
      <c r="C3764" s="7"/>
      <c r="D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</row>
    <row r="3765">
      <c r="A3765" s="7"/>
      <c r="B3765" s="7"/>
      <c r="C3765" s="7"/>
      <c r="D3765" s="7"/>
      <c r="E3765" s="7"/>
      <c r="F3765" s="7"/>
      <c r="G3765" s="7"/>
      <c r="H3765" s="7"/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</row>
    <row r="3766">
      <c r="A3766" s="7"/>
      <c r="B3766" s="7"/>
      <c r="C3766" s="7"/>
      <c r="D3766" s="7"/>
      <c r="E3766" s="7"/>
      <c r="F3766" s="7"/>
      <c r="G3766" s="7"/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</row>
    <row r="3767">
      <c r="A3767" s="7"/>
      <c r="B3767" s="7"/>
      <c r="C3767" s="7"/>
      <c r="D3767" s="7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</row>
    <row r="3768">
      <c r="A3768" s="7"/>
      <c r="B3768" s="7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</row>
    <row r="3769">
      <c r="A3769" s="7"/>
      <c r="B3769" s="7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</row>
    <row r="3770">
      <c r="A3770" s="7"/>
      <c r="B3770" s="7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</row>
    <row r="3771">
      <c r="A3771" s="7"/>
      <c r="B3771" s="7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</row>
    <row r="3772">
      <c r="A3772" s="7"/>
      <c r="B3772" s="7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</row>
    <row r="3773">
      <c r="A3773" s="7"/>
      <c r="B3773" s="7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</row>
    <row r="3774">
      <c r="A3774" s="7"/>
      <c r="B3774" s="7"/>
      <c r="C3774" s="7"/>
      <c r="D3774" s="7"/>
      <c r="E3774" s="7"/>
      <c r="F3774" s="7"/>
      <c r="G3774" s="7"/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</row>
    <row r="3775">
      <c r="A3775" s="7"/>
      <c r="B3775" s="7"/>
      <c r="C3775" s="7"/>
      <c r="D3775" s="7"/>
      <c r="E3775" s="7"/>
      <c r="F3775" s="7"/>
      <c r="G3775" s="7"/>
      <c r="H3775" s="7"/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</row>
    <row r="3776">
      <c r="A3776" s="7"/>
      <c r="B3776" s="7"/>
      <c r="C3776" s="7"/>
      <c r="D3776" s="7"/>
      <c r="E3776" s="7"/>
      <c r="F3776" s="7"/>
      <c r="G3776" s="7"/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</row>
    <row r="3777">
      <c r="A3777" s="7"/>
      <c r="B3777" s="7"/>
      <c r="C3777" s="7"/>
      <c r="D3777" s="7"/>
      <c r="E3777" s="7"/>
      <c r="F3777" s="7"/>
      <c r="G3777" s="7"/>
      <c r="H3777" s="7"/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</row>
    <row r="3778">
      <c r="A3778" s="7"/>
      <c r="B3778" s="7"/>
      <c r="C3778" s="7"/>
      <c r="D3778" s="7"/>
      <c r="E3778" s="7"/>
      <c r="F3778" s="7"/>
      <c r="G3778" s="7"/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</row>
    <row r="3779">
      <c r="A3779" s="7"/>
      <c r="B3779" s="7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</row>
    <row r="3780">
      <c r="A3780" s="7"/>
      <c r="B3780" s="7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</row>
    <row r="3781">
      <c r="A3781" s="7"/>
      <c r="B3781" s="7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</row>
    <row r="3782">
      <c r="A3782" s="7"/>
      <c r="B3782" s="7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</row>
    <row r="3783">
      <c r="A3783" s="7"/>
      <c r="B3783" s="7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</row>
    <row r="3784">
      <c r="A3784" s="7"/>
      <c r="B3784" s="7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</row>
    <row r="3785">
      <c r="A3785" s="7"/>
      <c r="B3785" s="7"/>
      <c r="C3785" s="7"/>
      <c r="D3785" s="7"/>
      <c r="E3785" s="7"/>
      <c r="F3785" s="7"/>
      <c r="G3785" s="7"/>
      <c r="H3785" s="7"/>
      <c r="I3785" s="7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</row>
    <row r="3786">
      <c r="A3786" s="7"/>
      <c r="B3786" s="7"/>
      <c r="C3786" s="7"/>
      <c r="D3786" s="7"/>
      <c r="E3786" s="7"/>
      <c r="F3786" s="7"/>
      <c r="G3786" s="7"/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</row>
    <row r="3787">
      <c r="A3787" s="7"/>
      <c r="B3787" s="7"/>
      <c r="C3787" s="7"/>
      <c r="D3787" s="7"/>
      <c r="E3787" s="7"/>
      <c r="F3787" s="7"/>
      <c r="G3787" s="7"/>
      <c r="H3787" s="7"/>
      <c r="I3787" s="7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</row>
    <row r="3788">
      <c r="A3788" s="7"/>
      <c r="B3788" s="7"/>
      <c r="C3788" s="7"/>
      <c r="D3788" s="7"/>
      <c r="E3788" s="7"/>
      <c r="F3788" s="7"/>
      <c r="G3788" s="7"/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</row>
    <row r="3789">
      <c r="A3789" s="7"/>
      <c r="B3789" s="7"/>
      <c r="C3789" s="7"/>
      <c r="D3789" s="7"/>
      <c r="E3789" s="7"/>
      <c r="F3789" s="7"/>
      <c r="G3789" s="7"/>
      <c r="H3789" s="7"/>
      <c r="I3789" s="7"/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</row>
    <row r="3790">
      <c r="A3790" s="7"/>
      <c r="B3790" s="7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</row>
    <row r="3791">
      <c r="A3791" s="7"/>
      <c r="B3791" s="7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</row>
    <row r="3792">
      <c r="A3792" s="7"/>
      <c r="B3792" s="7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</row>
    <row r="3793">
      <c r="A3793" s="7"/>
      <c r="B3793" s="7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</row>
    <row r="3794">
      <c r="A3794" s="7"/>
      <c r="B3794" s="7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</row>
    <row r="3795">
      <c r="A3795" s="7"/>
      <c r="B3795" s="7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</row>
    <row r="3796">
      <c r="A3796" s="7"/>
      <c r="B3796" s="7"/>
      <c r="C3796" s="7"/>
      <c r="D3796" s="7"/>
      <c r="E3796" s="7"/>
      <c r="F3796" s="7"/>
      <c r="G3796" s="7"/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</row>
    <row r="3797">
      <c r="A3797" s="7"/>
      <c r="B3797" s="7"/>
      <c r="C3797" s="7"/>
      <c r="D3797" s="7"/>
      <c r="E3797" s="7"/>
      <c r="F3797" s="7"/>
      <c r="G3797" s="7"/>
      <c r="H3797" s="7"/>
      <c r="I3797" s="7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</row>
    <row r="3798">
      <c r="A3798" s="7"/>
      <c r="B3798" s="7"/>
      <c r="C3798" s="7"/>
      <c r="D3798" s="7"/>
      <c r="E3798" s="7"/>
      <c r="F3798" s="7"/>
      <c r="G3798" s="7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</row>
    <row r="3799">
      <c r="A3799" s="7"/>
      <c r="B3799" s="7"/>
      <c r="C3799" s="7"/>
      <c r="D3799" s="7"/>
      <c r="E3799" s="7"/>
      <c r="F3799" s="7"/>
      <c r="G3799" s="7"/>
      <c r="H3799" s="7"/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</row>
    <row r="3800">
      <c r="A3800" s="7"/>
      <c r="B3800" s="7"/>
      <c r="C3800" s="7"/>
      <c r="D3800" s="7"/>
      <c r="E3800" s="7"/>
      <c r="F3800" s="7"/>
      <c r="G3800" s="7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</row>
    <row r="3801">
      <c r="A3801" s="7"/>
      <c r="B3801" s="7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</row>
    <row r="3802">
      <c r="A3802" s="7"/>
      <c r="B3802" s="7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</row>
    <row r="3803">
      <c r="A3803" s="7"/>
      <c r="B3803" s="7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</row>
    <row r="3804">
      <c r="A3804" s="7"/>
      <c r="B3804" s="7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</row>
    <row r="3805">
      <c r="A3805" s="7"/>
      <c r="B3805" s="7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</row>
    <row r="3806">
      <c r="A3806" s="7"/>
      <c r="B3806" s="7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</row>
    <row r="3807">
      <c r="A3807" s="7"/>
      <c r="B3807" s="7"/>
      <c r="C3807" s="7"/>
      <c r="D3807" s="7"/>
      <c r="E3807" s="7"/>
      <c r="F3807" s="7"/>
      <c r="G3807" s="7"/>
      <c r="H3807" s="7"/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</row>
    <row r="3808">
      <c r="A3808" s="7"/>
      <c r="B3808" s="7"/>
      <c r="C3808" s="7"/>
      <c r="D3808" s="7"/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</row>
    <row r="3809">
      <c r="A3809" s="7"/>
      <c r="B3809" s="7"/>
      <c r="C3809" s="7"/>
      <c r="D3809" s="7"/>
      <c r="E3809" s="7"/>
      <c r="F3809" s="7"/>
      <c r="G3809" s="7"/>
      <c r="H3809" s="7"/>
      <c r="I3809" s="7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</row>
    <row r="3810">
      <c r="A3810" s="7"/>
      <c r="B3810" s="7"/>
      <c r="C3810" s="7"/>
      <c r="D3810" s="7"/>
      <c r="E3810" s="7"/>
      <c r="F3810" s="7"/>
      <c r="G3810" s="7"/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</row>
    <row r="3811">
      <c r="A3811" s="7"/>
      <c r="B3811" s="7"/>
      <c r="C3811" s="7"/>
      <c r="D3811" s="7"/>
      <c r="E3811" s="7"/>
      <c r="F3811" s="7"/>
      <c r="G3811" s="7"/>
      <c r="H3811" s="7"/>
      <c r="I3811" s="7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</row>
    <row r="3812">
      <c r="A3812" s="7"/>
      <c r="B3812" s="7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</row>
    <row r="3813">
      <c r="A3813" s="7"/>
      <c r="B3813" s="7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</row>
    <row r="3814">
      <c r="A3814" s="7"/>
      <c r="B3814" s="7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</row>
    <row r="3815">
      <c r="A3815" s="7"/>
      <c r="B3815" s="7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</row>
    <row r="3816">
      <c r="A3816" s="7"/>
      <c r="B3816" s="7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</row>
    <row r="3817">
      <c r="A3817" s="7"/>
      <c r="B3817" s="7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</row>
    <row r="3818">
      <c r="A3818" s="7"/>
      <c r="B3818" s="7"/>
      <c r="C3818" s="7"/>
      <c r="D3818" s="7"/>
      <c r="E3818" s="7"/>
      <c r="F3818" s="7"/>
      <c r="G3818" s="7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</row>
    <row r="3819">
      <c r="A3819" s="7"/>
      <c r="B3819" s="7"/>
      <c r="C3819" s="7"/>
      <c r="D3819" s="7"/>
      <c r="E3819" s="7"/>
      <c r="F3819" s="7"/>
      <c r="G3819" s="7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</row>
    <row r="3820">
      <c r="A3820" s="7"/>
      <c r="B3820" s="7"/>
      <c r="C3820" s="7"/>
      <c r="D3820" s="7"/>
      <c r="E3820" s="7"/>
      <c r="F3820" s="7"/>
      <c r="G3820" s="7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</row>
    <row r="3821">
      <c r="A3821" s="7"/>
      <c r="B3821" s="7"/>
      <c r="C3821" s="7"/>
      <c r="D3821" s="7"/>
      <c r="E3821" s="7"/>
      <c r="F3821" s="7"/>
      <c r="G3821" s="7"/>
      <c r="H3821" s="7"/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</row>
    <row r="3822">
      <c r="A3822" s="7"/>
      <c r="B3822" s="7"/>
      <c r="C3822" s="7"/>
      <c r="D3822" s="7"/>
      <c r="E3822" s="7"/>
      <c r="F3822" s="7"/>
      <c r="G3822" s="7"/>
      <c r="H3822" s="7"/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</row>
    <row r="3823">
      <c r="A3823" s="7"/>
      <c r="B3823" s="7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</row>
    <row r="3824">
      <c r="A3824" s="7"/>
      <c r="B3824" s="7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</row>
    <row r="3825">
      <c r="A3825" s="7"/>
      <c r="B3825" s="7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</row>
    <row r="3826">
      <c r="A3826" s="7"/>
      <c r="B3826" s="7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</row>
    <row r="3827">
      <c r="A3827" s="7"/>
      <c r="B3827" s="7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</row>
    <row r="3828">
      <c r="A3828" s="7"/>
      <c r="B3828" s="7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</row>
    <row r="3829">
      <c r="A3829" s="7"/>
      <c r="B3829" s="7"/>
      <c r="C3829" s="7"/>
      <c r="D3829" s="7"/>
      <c r="E3829" s="7"/>
      <c r="F3829" s="7"/>
      <c r="G3829" s="7"/>
      <c r="H3829" s="7"/>
      <c r="I3829" s="7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</row>
    <row r="3830">
      <c r="A3830" s="7"/>
      <c r="B3830" s="7"/>
      <c r="C3830" s="7"/>
      <c r="D3830" s="7"/>
      <c r="E3830" s="7"/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</row>
    <row r="3831">
      <c r="A3831" s="7"/>
      <c r="B3831" s="7"/>
      <c r="C3831" s="7"/>
      <c r="D3831" s="7"/>
      <c r="E3831" s="7"/>
      <c r="F3831" s="7"/>
      <c r="G3831" s="7"/>
      <c r="H3831" s="7"/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</row>
    <row r="3832">
      <c r="A3832" s="7"/>
      <c r="B3832" s="7"/>
      <c r="C3832" s="7"/>
      <c r="D3832" s="7"/>
      <c r="E3832" s="7"/>
      <c r="F3832" s="7"/>
      <c r="G3832" s="7"/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</row>
    <row r="3833">
      <c r="A3833" s="7"/>
      <c r="B3833" s="7"/>
      <c r="C3833" s="7"/>
      <c r="D3833" s="7"/>
      <c r="E3833" s="7"/>
      <c r="F3833" s="7"/>
      <c r="G3833" s="7"/>
      <c r="H3833" s="7"/>
      <c r="I3833" s="7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</row>
    <row r="3834">
      <c r="A3834" s="7"/>
      <c r="B3834" s="7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</row>
    <row r="3835">
      <c r="A3835" s="7"/>
      <c r="B3835" s="7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</row>
    <row r="3836">
      <c r="A3836" s="7"/>
      <c r="B3836" s="7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</row>
    <row r="3837">
      <c r="A3837" s="7"/>
      <c r="B3837" s="7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</row>
    <row r="3838">
      <c r="A3838" s="7"/>
      <c r="B3838" s="7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</row>
    <row r="3839">
      <c r="A3839" s="7"/>
      <c r="B3839" s="7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</row>
    <row r="3840">
      <c r="A3840" s="7"/>
      <c r="B3840" s="7"/>
      <c r="C3840" s="7"/>
      <c r="D3840" s="7"/>
      <c r="E3840" s="7"/>
      <c r="F3840" s="7"/>
      <c r="G3840" s="7"/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</row>
    <row r="3841">
      <c r="A3841" s="7"/>
      <c r="B3841" s="7"/>
      <c r="C3841" s="7"/>
      <c r="D3841" s="7"/>
      <c r="E3841" s="7"/>
      <c r="F3841" s="7"/>
      <c r="G3841" s="7"/>
      <c r="H3841" s="7"/>
      <c r="I3841" s="7"/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</row>
    <row r="3842">
      <c r="A3842" s="7"/>
      <c r="B3842" s="7"/>
      <c r="C3842" s="7"/>
      <c r="D3842" s="7"/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</row>
    <row r="3843">
      <c r="A3843" s="7"/>
      <c r="B3843" s="7"/>
      <c r="C3843" s="7"/>
      <c r="D3843" s="7"/>
      <c r="E3843" s="7"/>
      <c r="F3843" s="7"/>
      <c r="G3843" s="7"/>
      <c r="H3843" s="7"/>
      <c r="I3843" s="7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</row>
    <row r="3844">
      <c r="A3844" s="7"/>
      <c r="B3844" s="7"/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</row>
    <row r="3845">
      <c r="A3845" s="7"/>
      <c r="B3845" s="7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</row>
    <row r="3846">
      <c r="A3846" s="7"/>
      <c r="B3846" s="7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</row>
    <row r="3847">
      <c r="A3847" s="7"/>
      <c r="B3847" s="7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</row>
    <row r="3848">
      <c r="A3848" s="7"/>
      <c r="B3848" s="7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</row>
    <row r="3849">
      <c r="A3849" s="7"/>
      <c r="B3849" s="7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</row>
    <row r="3850">
      <c r="A3850" s="7"/>
      <c r="B3850" s="7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</row>
    <row r="3851">
      <c r="A3851" s="7"/>
      <c r="B3851" s="7"/>
      <c r="C3851" s="7"/>
      <c r="D3851" s="7"/>
      <c r="E3851" s="7"/>
      <c r="F3851" s="7"/>
      <c r="G3851" s="7"/>
      <c r="H3851" s="7"/>
      <c r="I3851" s="7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</row>
    <row r="3852">
      <c r="A3852" s="7"/>
      <c r="B3852" s="7"/>
      <c r="C3852" s="7"/>
      <c r="D3852" s="7"/>
      <c r="E3852" s="7"/>
      <c r="F3852" s="7"/>
      <c r="G3852" s="7"/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</row>
    <row r="3853">
      <c r="A3853" s="7"/>
      <c r="B3853" s="7"/>
      <c r="C3853" s="7"/>
      <c r="D3853" s="7"/>
      <c r="E3853" s="7"/>
      <c r="F3853" s="7"/>
      <c r="G3853" s="7"/>
      <c r="H3853" s="7"/>
      <c r="I3853" s="7"/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</row>
    <row r="3854">
      <c r="A3854" s="7"/>
      <c r="B3854" s="7"/>
      <c r="C3854" s="7"/>
      <c r="D3854" s="7"/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</row>
    <row r="3855">
      <c r="A3855" s="7"/>
      <c r="B3855" s="7"/>
      <c r="C3855" s="7"/>
      <c r="D3855" s="7"/>
      <c r="E3855" s="7"/>
      <c r="F3855" s="7"/>
      <c r="G3855" s="7"/>
      <c r="H3855" s="7"/>
      <c r="I3855" s="7"/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</row>
    <row r="3856">
      <c r="A3856" s="7"/>
      <c r="B3856" s="7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</row>
    <row r="3857">
      <c r="A3857" s="7"/>
      <c r="B3857" s="7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</row>
    <row r="3858">
      <c r="A3858" s="7"/>
      <c r="B3858" s="7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</row>
    <row r="3859">
      <c r="A3859" s="7"/>
      <c r="B3859" s="7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</row>
    <row r="3860">
      <c r="A3860" s="7"/>
      <c r="B3860" s="7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</row>
    <row r="3861">
      <c r="A3861" s="7"/>
      <c r="B3861" s="7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</row>
    <row r="3862">
      <c r="A3862" s="7"/>
      <c r="B3862" s="7"/>
      <c r="C3862" s="7"/>
      <c r="D3862" s="7"/>
      <c r="E3862" s="7"/>
      <c r="F3862" s="7"/>
      <c r="G3862" s="7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</row>
    <row r="3863">
      <c r="A3863" s="7"/>
      <c r="B3863" s="7"/>
      <c r="C3863" s="7"/>
      <c r="D3863" s="7"/>
      <c r="E3863" s="7"/>
      <c r="F3863" s="7"/>
      <c r="G3863" s="7"/>
      <c r="H3863" s="7"/>
      <c r="I3863" s="7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</row>
    <row r="3864">
      <c r="A3864" s="7"/>
      <c r="B3864" s="7"/>
      <c r="C3864" s="7"/>
      <c r="D3864" s="7"/>
      <c r="E3864" s="7"/>
      <c r="F3864" s="7"/>
      <c r="G3864" s="7"/>
      <c r="H3864" s="7"/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</row>
    <row r="3865">
      <c r="A3865" s="7"/>
      <c r="B3865" s="7"/>
      <c r="C3865" s="7"/>
      <c r="D3865" s="7"/>
      <c r="E3865" s="7"/>
      <c r="F3865" s="7"/>
      <c r="G3865" s="7"/>
      <c r="H3865" s="7"/>
      <c r="I3865" s="7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</row>
    <row r="3866">
      <c r="A3866" s="7"/>
      <c r="B3866" s="7"/>
      <c r="C3866" s="7"/>
      <c r="D3866" s="7"/>
      <c r="E3866" s="7"/>
      <c r="F3866" s="7"/>
      <c r="G3866" s="7"/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</row>
    <row r="3867">
      <c r="A3867" s="7"/>
      <c r="B3867" s="7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</row>
    <row r="3868">
      <c r="A3868" s="7"/>
      <c r="B3868" s="7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</row>
    <row r="3869">
      <c r="A3869" s="7"/>
      <c r="B3869" s="7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</row>
    <row r="3870">
      <c r="A3870" s="7"/>
      <c r="B3870" s="7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</row>
    <row r="3871">
      <c r="A3871" s="7"/>
      <c r="B3871" s="7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</row>
    <row r="3872">
      <c r="A3872" s="7"/>
      <c r="B3872" s="7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</row>
    <row r="3873">
      <c r="A3873" s="7"/>
      <c r="B3873" s="7"/>
      <c r="C3873" s="7"/>
      <c r="D3873" s="7"/>
      <c r="E3873" s="7"/>
      <c r="F3873" s="7"/>
      <c r="G3873" s="7"/>
      <c r="H3873" s="7"/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</row>
    <row r="3874">
      <c r="A3874" s="7"/>
      <c r="B3874" s="7"/>
      <c r="C3874" s="7"/>
      <c r="D3874" s="7"/>
      <c r="E3874" s="7"/>
      <c r="F3874" s="7"/>
      <c r="G3874" s="7"/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</row>
    <row r="3875">
      <c r="A3875" s="7"/>
      <c r="B3875" s="7"/>
      <c r="C3875" s="7"/>
      <c r="D3875" s="7"/>
      <c r="E3875" s="7"/>
      <c r="F3875" s="7"/>
      <c r="G3875" s="7"/>
      <c r="H3875" s="7"/>
      <c r="I3875" s="7"/>
      <c r="J3875" s="7"/>
      <c r="K3875" s="7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</row>
    <row r="3876">
      <c r="A3876" s="7"/>
      <c r="B3876" s="7"/>
      <c r="C3876" s="7"/>
      <c r="D3876" s="7"/>
      <c r="E3876" s="7"/>
      <c r="F3876" s="7"/>
      <c r="G3876" s="7"/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</row>
    <row r="3877">
      <c r="A3877" s="7"/>
      <c r="B3877" s="7"/>
      <c r="C3877" s="7"/>
      <c r="D3877" s="7"/>
      <c r="E3877" s="7"/>
      <c r="F3877" s="7"/>
      <c r="G3877" s="7"/>
      <c r="H3877" s="7"/>
      <c r="I3877" s="7"/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</row>
    <row r="3878">
      <c r="A3878" s="7"/>
      <c r="B3878" s="7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</row>
    <row r="3879">
      <c r="A3879" s="7"/>
      <c r="B3879" s="7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</row>
    <row r="3880">
      <c r="A3880" s="7"/>
      <c r="B3880" s="7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</row>
    <row r="3881">
      <c r="A3881" s="7"/>
      <c r="B3881" s="7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</row>
    <row r="3882">
      <c r="A3882" s="7"/>
      <c r="B3882" s="7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</row>
    <row r="3883">
      <c r="A3883" s="7"/>
      <c r="B3883" s="7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</row>
    <row r="3884">
      <c r="A3884" s="7"/>
      <c r="B3884" s="7"/>
      <c r="C3884" s="7"/>
      <c r="D3884" s="7"/>
      <c r="E3884" s="7"/>
      <c r="F3884" s="7"/>
      <c r="G3884" s="7"/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</row>
    <row r="3885">
      <c r="A3885" s="7"/>
      <c r="B3885" s="7"/>
      <c r="C3885" s="7"/>
      <c r="D3885" s="7"/>
      <c r="E3885" s="7"/>
      <c r="F3885" s="7"/>
      <c r="G3885" s="7"/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</row>
    <row r="3886">
      <c r="A3886" s="7"/>
      <c r="B3886" s="7"/>
      <c r="C3886" s="7"/>
      <c r="D3886" s="7"/>
      <c r="E3886" s="7"/>
      <c r="F3886" s="7"/>
      <c r="G3886" s="7"/>
      <c r="H3886" s="7"/>
      <c r="I3886" s="7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</row>
    <row r="3887">
      <c r="A3887" s="7"/>
      <c r="B3887" s="7"/>
      <c r="C3887" s="7"/>
      <c r="D3887" s="7"/>
      <c r="E3887" s="7"/>
      <c r="F3887" s="7"/>
      <c r="G3887" s="7"/>
      <c r="H3887" s="7"/>
      <c r="I3887" s="7"/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</row>
    <row r="3888">
      <c r="A3888" s="7"/>
      <c r="B3888" s="7"/>
      <c r="C3888" s="7"/>
      <c r="D3888" s="7"/>
      <c r="E3888" s="7"/>
      <c r="F3888" s="7"/>
      <c r="G3888" s="7"/>
      <c r="H3888" s="7"/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</row>
    <row r="3889">
      <c r="A3889" s="7"/>
      <c r="B3889" s="7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</row>
    <row r="3890">
      <c r="A3890" s="7"/>
      <c r="B3890" s="7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</row>
    <row r="3891">
      <c r="A3891" s="7"/>
      <c r="B3891" s="7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</row>
    <row r="3892">
      <c r="A3892" s="7"/>
      <c r="B3892" s="7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</row>
    <row r="3893">
      <c r="A3893" s="7"/>
      <c r="B3893" s="7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</row>
    <row r="3894">
      <c r="A3894" s="7"/>
      <c r="B3894" s="7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</row>
    <row r="3895">
      <c r="A3895" s="7"/>
      <c r="B3895" s="7"/>
      <c r="C3895" s="7"/>
      <c r="D3895" s="7"/>
      <c r="E3895" s="7"/>
      <c r="F3895" s="7"/>
      <c r="G3895" s="7"/>
      <c r="H3895" s="7"/>
      <c r="I3895" s="7"/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</row>
    <row r="3896">
      <c r="A3896" s="7"/>
      <c r="B3896" s="7"/>
      <c r="C3896" s="7"/>
      <c r="D3896" s="7"/>
      <c r="E3896" s="7"/>
      <c r="F3896" s="7"/>
      <c r="G3896" s="7"/>
      <c r="H3896" s="7"/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</row>
    <row r="3897">
      <c r="A3897" s="7"/>
      <c r="B3897" s="7"/>
      <c r="C3897" s="7"/>
      <c r="D3897" s="7"/>
      <c r="E3897" s="7"/>
      <c r="F3897" s="7"/>
      <c r="G3897" s="7"/>
      <c r="H3897" s="7"/>
      <c r="I3897" s="7"/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</row>
    <row r="3898">
      <c r="A3898" s="7"/>
      <c r="B3898" s="7"/>
      <c r="C3898" s="7"/>
      <c r="D3898" s="7"/>
      <c r="E3898" s="7"/>
      <c r="F3898" s="7"/>
      <c r="G3898" s="7"/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</row>
    <row r="3899">
      <c r="A3899" s="7"/>
      <c r="B3899" s="7"/>
      <c r="C3899" s="7"/>
      <c r="D3899" s="7"/>
      <c r="E3899" s="7"/>
      <c r="F3899" s="7"/>
      <c r="G3899" s="7"/>
      <c r="H3899" s="7"/>
      <c r="I3899" s="7"/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</row>
    <row r="3900">
      <c r="A3900" s="7"/>
      <c r="B3900" s="7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</row>
    <row r="3901">
      <c r="A3901" s="7"/>
      <c r="B3901" s="7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</row>
    <row r="3902">
      <c r="A3902" s="7"/>
      <c r="B3902" s="7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</row>
    <row r="3903">
      <c r="A3903" s="7"/>
      <c r="B3903" s="7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</row>
    <row r="3904">
      <c r="A3904" s="7"/>
      <c r="B3904" s="7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</row>
    <row r="3905">
      <c r="A3905" s="7"/>
      <c r="B3905" s="7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</row>
    <row r="3906">
      <c r="A3906" s="7"/>
      <c r="B3906" s="7"/>
      <c r="C3906" s="7"/>
      <c r="D3906" s="7"/>
      <c r="E3906" s="7"/>
      <c r="F3906" s="7"/>
      <c r="G3906" s="7"/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</row>
    <row r="3907">
      <c r="A3907" s="7"/>
      <c r="B3907" s="7"/>
      <c r="C3907" s="7"/>
      <c r="D3907" s="7"/>
      <c r="E3907" s="7"/>
      <c r="F3907" s="7"/>
      <c r="G3907" s="7"/>
      <c r="H3907" s="7"/>
      <c r="I3907" s="7"/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</row>
    <row r="3908">
      <c r="A3908" s="7"/>
      <c r="B3908" s="7"/>
      <c r="C3908" s="7"/>
      <c r="D3908" s="7"/>
      <c r="E3908" s="7"/>
      <c r="F3908" s="7"/>
      <c r="G3908" s="7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</row>
    <row r="3909">
      <c r="A3909" s="7"/>
      <c r="B3909" s="7"/>
      <c r="C3909" s="7"/>
      <c r="D3909" s="7"/>
      <c r="E3909" s="7"/>
      <c r="F3909" s="7"/>
      <c r="G3909" s="7"/>
      <c r="H3909" s="7"/>
      <c r="I3909" s="7"/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</row>
    <row r="3910">
      <c r="A3910" s="7"/>
      <c r="B3910" s="7"/>
      <c r="C3910" s="7"/>
      <c r="D3910" s="7"/>
      <c r="E3910" s="7"/>
      <c r="F3910" s="7"/>
      <c r="G3910" s="7"/>
      <c r="H3910" s="7"/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</row>
    <row r="3911">
      <c r="A3911" s="7"/>
      <c r="B3911" s="7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</row>
    <row r="3912">
      <c r="A3912" s="7"/>
      <c r="B3912" s="7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</row>
    <row r="3913">
      <c r="A3913" s="7"/>
      <c r="B3913" s="7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</row>
    <row r="3914">
      <c r="A3914" s="7"/>
      <c r="B3914" s="7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</row>
    <row r="3915">
      <c r="A3915" s="7"/>
      <c r="B3915" s="7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</row>
    <row r="3916">
      <c r="A3916" s="7"/>
      <c r="B3916" s="7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</row>
    <row r="3917">
      <c r="A3917" s="7"/>
      <c r="B3917" s="7"/>
      <c r="C3917" s="7"/>
      <c r="D3917" s="7"/>
      <c r="E3917" s="7"/>
      <c r="F3917" s="7"/>
      <c r="G3917" s="7"/>
      <c r="H3917" s="7"/>
      <c r="I3917" s="7"/>
      <c r="J3917" s="7"/>
      <c r="K3917" s="7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</row>
    <row r="3918">
      <c r="A3918" s="7"/>
      <c r="B3918" s="7"/>
      <c r="C3918" s="7"/>
      <c r="D3918" s="7"/>
      <c r="E3918" s="7"/>
      <c r="F3918" s="7"/>
      <c r="G3918" s="7"/>
      <c r="H3918" s="7"/>
      <c r="I3918" s="7"/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</row>
    <row r="3919">
      <c r="A3919" s="7"/>
      <c r="B3919" s="7"/>
      <c r="C3919" s="7"/>
      <c r="D3919" s="7"/>
      <c r="E3919" s="7"/>
      <c r="F3919" s="7"/>
      <c r="G3919" s="7"/>
      <c r="H3919" s="7"/>
      <c r="I3919" s="7"/>
      <c r="J3919" s="7"/>
      <c r="K3919" s="7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</row>
    <row r="3920">
      <c r="A3920" s="7"/>
      <c r="B3920" s="7"/>
      <c r="C3920" s="7"/>
      <c r="D3920" s="7"/>
      <c r="E3920" s="7"/>
      <c r="F3920" s="7"/>
      <c r="G3920" s="7"/>
      <c r="H3920" s="7"/>
      <c r="I3920" s="7"/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</row>
    <row r="3921">
      <c r="A3921" s="7"/>
      <c r="B3921" s="7"/>
      <c r="C3921" s="7"/>
      <c r="D3921" s="7"/>
      <c r="E3921" s="7"/>
      <c r="F3921" s="7"/>
      <c r="G3921" s="7"/>
      <c r="H3921" s="7"/>
      <c r="I3921" s="7"/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</row>
    <row r="3922">
      <c r="A3922" s="7"/>
      <c r="B3922" s="7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</row>
    <row r="3923">
      <c r="A3923" s="7"/>
      <c r="B3923" s="7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</row>
    <row r="3924">
      <c r="A3924" s="7"/>
      <c r="B3924" s="7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</row>
    <row r="3925">
      <c r="A3925" s="7"/>
      <c r="B3925" s="7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</row>
    <row r="3926">
      <c r="A3926" s="7"/>
      <c r="B3926" s="7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</row>
    <row r="3927">
      <c r="A3927" s="7"/>
      <c r="B3927" s="7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</row>
    <row r="3928">
      <c r="A3928" s="7"/>
      <c r="B3928" s="7"/>
      <c r="C3928" s="7"/>
      <c r="D3928" s="7"/>
      <c r="E3928" s="7"/>
      <c r="F3928" s="7"/>
      <c r="G3928" s="7"/>
      <c r="H3928" s="7"/>
      <c r="I3928" s="7"/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</row>
    <row r="3929">
      <c r="A3929" s="7"/>
      <c r="B3929" s="7"/>
      <c r="C3929" s="7"/>
      <c r="D3929" s="7"/>
      <c r="E3929" s="7"/>
      <c r="F3929" s="7"/>
      <c r="G3929" s="7"/>
      <c r="H3929" s="7"/>
      <c r="I3929" s="7"/>
      <c r="J3929" s="7"/>
      <c r="K3929" s="7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</row>
    <row r="3930">
      <c r="A3930" s="7"/>
      <c r="B3930" s="7"/>
      <c r="C3930" s="7"/>
      <c r="D3930" s="7"/>
      <c r="E3930" s="7"/>
      <c r="F3930" s="7"/>
      <c r="G3930" s="7"/>
      <c r="H3930" s="7"/>
      <c r="I3930" s="7"/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</row>
    <row r="3931">
      <c r="A3931" s="7"/>
      <c r="B3931" s="7"/>
      <c r="C3931" s="7"/>
      <c r="D3931" s="7"/>
      <c r="E3931" s="7"/>
      <c r="F3931" s="7"/>
      <c r="G3931" s="7"/>
      <c r="H3931" s="7"/>
      <c r="I3931" s="7"/>
      <c r="J3931" s="7"/>
      <c r="K3931" s="7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</row>
    <row r="3932">
      <c r="A3932" s="7"/>
      <c r="B3932" s="7"/>
      <c r="C3932" s="7"/>
      <c r="D3932" s="7"/>
      <c r="E3932" s="7"/>
      <c r="F3932" s="7"/>
      <c r="G3932" s="7"/>
      <c r="H3932" s="7"/>
      <c r="I3932" s="7"/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</row>
    <row r="3933">
      <c r="A3933" s="7"/>
      <c r="B3933" s="7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</row>
    <row r="3934">
      <c r="A3934" s="7"/>
      <c r="B3934" s="7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</row>
    <row r="3935">
      <c r="A3935" s="7"/>
      <c r="B3935" s="7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</row>
    <row r="3936">
      <c r="A3936" s="7"/>
      <c r="B3936" s="7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</row>
    <row r="3937">
      <c r="A3937" s="7"/>
      <c r="B3937" s="7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</row>
    <row r="3938">
      <c r="A3938" s="7"/>
      <c r="B3938" s="7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</row>
    <row r="3939">
      <c r="A3939" s="7"/>
      <c r="B3939" s="7"/>
      <c r="C3939" s="7"/>
      <c r="D3939" s="7"/>
      <c r="E3939" s="7"/>
      <c r="F3939" s="7"/>
      <c r="G3939" s="7"/>
      <c r="H3939" s="7"/>
      <c r="I3939" s="7"/>
      <c r="J3939" s="7"/>
      <c r="K3939" s="7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</row>
    <row r="3940">
      <c r="A3940" s="7"/>
      <c r="B3940" s="7"/>
      <c r="C3940" s="7"/>
      <c r="D3940" s="7"/>
      <c r="E3940" s="7"/>
      <c r="F3940" s="7"/>
      <c r="G3940" s="7"/>
      <c r="H3940" s="7"/>
      <c r="I3940" s="7"/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</row>
    <row r="3941">
      <c r="A3941" s="7"/>
      <c r="B3941" s="7"/>
      <c r="C3941" s="7"/>
      <c r="D3941" s="7"/>
      <c r="E3941" s="7"/>
      <c r="F3941" s="7"/>
      <c r="G3941" s="7"/>
      <c r="H3941" s="7"/>
      <c r="I3941" s="7"/>
      <c r="J3941" s="7"/>
      <c r="K3941" s="7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</row>
    <row r="3942">
      <c r="A3942" s="7"/>
      <c r="B3942" s="7"/>
      <c r="C3942" s="7"/>
      <c r="D3942" s="7"/>
      <c r="E3942" s="7"/>
      <c r="F3942" s="7"/>
      <c r="G3942" s="7"/>
      <c r="H3942" s="7"/>
      <c r="I3942" s="7"/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</row>
    <row r="3943">
      <c r="A3943" s="7"/>
      <c r="B3943" s="7"/>
      <c r="C3943" s="7"/>
      <c r="D3943" s="7"/>
      <c r="E3943" s="7"/>
      <c r="F3943" s="7"/>
      <c r="G3943" s="7"/>
      <c r="H3943" s="7"/>
      <c r="I3943" s="7"/>
      <c r="J3943" s="7"/>
      <c r="K3943" s="7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</row>
    <row r="3944">
      <c r="A3944" s="7"/>
      <c r="B3944" s="7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</row>
    <row r="3945">
      <c r="A3945" s="7"/>
      <c r="B3945" s="7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</row>
    <row r="3946">
      <c r="A3946" s="7"/>
      <c r="B3946" s="7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</row>
    <row r="3947">
      <c r="A3947" s="7"/>
      <c r="B3947" s="7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</row>
    <row r="3948">
      <c r="A3948" s="7"/>
      <c r="B3948" s="7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</row>
    <row r="3949">
      <c r="A3949" s="7"/>
      <c r="B3949" s="7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</row>
    <row r="3950">
      <c r="A3950" s="7"/>
      <c r="B3950" s="7"/>
      <c r="C3950" s="7"/>
      <c r="D3950" s="7"/>
      <c r="E3950" s="7"/>
      <c r="F3950" s="7"/>
      <c r="G3950" s="7"/>
      <c r="H3950" s="7"/>
      <c r="I3950" s="7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</row>
    <row r="3951">
      <c r="A3951" s="7"/>
      <c r="B3951" s="7"/>
      <c r="C3951" s="7"/>
      <c r="D3951" s="7"/>
      <c r="E3951" s="7"/>
      <c r="F3951" s="7"/>
      <c r="G3951" s="7"/>
      <c r="H3951" s="7"/>
      <c r="I3951" s="7"/>
      <c r="J3951" s="7"/>
      <c r="K3951" s="7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</row>
    <row r="3952">
      <c r="A3952" s="7"/>
      <c r="B3952" s="7"/>
      <c r="C3952" s="7"/>
      <c r="D3952" s="7"/>
      <c r="E3952" s="7"/>
      <c r="F3952" s="7"/>
      <c r="G3952" s="7"/>
      <c r="H3952" s="7"/>
      <c r="I3952" s="7"/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</row>
    <row r="3953">
      <c r="A3953" s="7"/>
      <c r="B3953" s="7"/>
      <c r="C3953" s="7"/>
      <c r="D3953" s="7"/>
      <c r="E3953" s="7"/>
      <c r="F3953" s="7"/>
      <c r="G3953" s="7"/>
      <c r="H3953" s="7"/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</row>
    <row r="3954">
      <c r="A3954" s="7"/>
      <c r="B3954" s="7"/>
      <c r="C3954" s="7"/>
      <c r="D3954" s="7"/>
      <c r="E3954" s="7"/>
      <c r="F3954" s="7"/>
      <c r="G3954" s="7"/>
      <c r="H3954" s="7"/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</row>
    <row r="3955">
      <c r="A3955" s="7"/>
      <c r="B3955" s="7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</row>
    <row r="3956">
      <c r="A3956" s="7"/>
      <c r="B3956" s="7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</row>
    <row r="3957">
      <c r="A3957" s="7"/>
      <c r="B3957" s="7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</row>
    <row r="3958">
      <c r="A3958" s="7"/>
      <c r="B3958" s="7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</row>
    <row r="3959">
      <c r="A3959" s="7"/>
      <c r="B3959" s="7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</row>
    <row r="3960">
      <c r="A3960" s="7"/>
      <c r="B3960" s="7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</row>
    <row r="3961">
      <c r="A3961" s="7"/>
      <c r="B3961" s="7"/>
      <c r="C3961" s="7"/>
      <c r="D3961" s="7"/>
      <c r="E3961" s="7"/>
      <c r="F3961" s="7"/>
      <c r="G3961" s="7"/>
      <c r="H3961" s="7"/>
      <c r="I3961" s="7"/>
      <c r="J3961" s="7"/>
      <c r="K3961" s="7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</row>
    <row r="3962">
      <c r="A3962" s="7"/>
      <c r="B3962" s="7"/>
      <c r="C3962" s="7"/>
      <c r="D3962" s="7"/>
      <c r="E3962" s="7"/>
      <c r="F3962" s="7"/>
      <c r="G3962" s="7"/>
      <c r="H3962" s="7"/>
      <c r="I3962" s="7"/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</row>
    <row r="3963">
      <c r="A3963" s="7"/>
      <c r="B3963" s="7"/>
      <c r="C3963" s="7"/>
      <c r="D3963" s="7"/>
      <c r="E3963" s="7"/>
      <c r="F3963" s="7"/>
      <c r="G3963" s="7"/>
      <c r="H3963" s="7"/>
      <c r="I3963" s="7"/>
      <c r="J3963" s="7"/>
      <c r="K3963" s="7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</row>
    <row r="3964">
      <c r="A3964" s="7"/>
      <c r="B3964" s="7"/>
      <c r="C3964" s="7"/>
      <c r="D3964" s="7"/>
      <c r="E3964" s="7"/>
      <c r="F3964" s="7"/>
      <c r="G3964" s="7"/>
      <c r="H3964" s="7"/>
      <c r="I3964" s="7"/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</row>
    <row r="3965">
      <c r="A3965" s="7"/>
      <c r="B3965" s="7"/>
      <c r="C3965" s="7"/>
      <c r="D3965" s="7"/>
      <c r="E3965" s="7"/>
      <c r="F3965" s="7"/>
      <c r="G3965" s="7"/>
      <c r="H3965" s="7"/>
      <c r="I3965" s="7"/>
      <c r="J3965" s="7"/>
      <c r="K3965" s="7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</row>
    <row r="3966">
      <c r="A3966" s="7"/>
      <c r="B3966" s="7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</row>
    <row r="3967">
      <c r="A3967" s="7"/>
      <c r="B3967" s="7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</row>
    <row r="3968">
      <c r="A3968" s="7"/>
      <c r="B3968" s="7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</row>
    <row r="3969">
      <c r="A3969" s="7"/>
      <c r="B3969" s="7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</row>
    <row r="3970">
      <c r="A3970" s="7"/>
      <c r="B3970" s="7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</row>
    <row r="3971">
      <c r="A3971" s="7"/>
      <c r="B3971" s="7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</row>
    <row r="3972">
      <c r="A3972" s="7"/>
      <c r="B3972" s="7"/>
      <c r="C3972" s="7"/>
      <c r="D3972" s="7"/>
      <c r="E3972" s="7"/>
      <c r="F3972" s="7"/>
      <c r="G3972" s="7"/>
      <c r="H3972" s="7"/>
      <c r="I3972" s="7"/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</row>
    <row r="3973">
      <c r="A3973" s="7"/>
      <c r="B3973" s="7"/>
      <c r="C3973" s="7"/>
      <c r="D3973" s="7"/>
      <c r="E3973" s="7"/>
      <c r="F3973" s="7"/>
      <c r="G3973" s="7"/>
      <c r="H3973" s="7"/>
      <c r="I3973" s="7"/>
      <c r="J3973" s="7"/>
      <c r="K3973" s="7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</row>
    <row r="3974">
      <c r="A3974" s="7"/>
      <c r="B3974" s="7"/>
      <c r="C3974" s="7"/>
      <c r="D3974" s="7"/>
      <c r="E3974" s="7"/>
      <c r="F3974" s="7"/>
      <c r="G3974" s="7"/>
      <c r="H3974" s="7"/>
      <c r="I3974" s="7"/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</row>
    <row r="3975">
      <c r="A3975" s="7"/>
      <c r="B3975" s="7"/>
      <c r="C3975" s="7"/>
      <c r="D3975" s="7"/>
      <c r="E3975" s="7"/>
      <c r="F3975" s="7"/>
      <c r="G3975" s="7"/>
      <c r="H3975" s="7"/>
      <c r="I3975" s="7"/>
      <c r="J3975" s="7"/>
      <c r="K3975" s="7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</row>
    <row r="3976">
      <c r="A3976" s="7"/>
      <c r="B3976" s="7"/>
      <c r="C3976" s="7"/>
      <c r="D3976" s="7"/>
      <c r="E3976" s="7"/>
      <c r="F3976" s="7"/>
      <c r="G3976" s="7"/>
      <c r="H3976" s="7"/>
      <c r="I3976" s="7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</row>
    <row r="3977">
      <c r="A3977" s="7"/>
      <c r="B3977" s="7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</row>
    <row r="3978">
      <c r="A3978" s="7"/>
      <c r="B3978" s="7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</row>
    <row r="3979">
      <c r="A3979" s="7"/>
      <c r="B3979" s="7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</row>
    <row r="3980">
      <c r="A3980" s="7"/>
      <c r="B3980" s="7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</row>
    <row r="3981">
      <c r="A3981" s="7"/>
      <c r="B3981" s="7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</row>
    <row r="3982">
      <c r="A3982" s="7"/>
      <c r="B3982" s="7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</row>
    <row r="3983">
      <c r="A3983" s="7"/>
      <c r="B3983" s="7"/>
      <c r="C3983" s="7"/>
      <c r="D3983" s="7"/>
      <c r="E3983" s="7"/>
      <c r="F3983" s="7"/>
      <c r="G3983" s="7"/>
      <c r="H3983" s="7"/>
      <c r="I3983" s="7"/>
      <c r="J3983" s="7"/>
      <c r="K3983" s="7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</row>
    <row r="3984">
      <c r="A3984" s="7"/>
      <c r="B3984" s="7"/>
      <c r="C3984" s="7"/>
      <c r="D3984" s="7"/>
      <c r="E3984" s="7"/>
      <c r="F3984" s="7"/>
      <c r="G3984" s="7"/>
      <c r="H3984" s="7"/>
      <c r="I3984" s="7"/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</row>
    <row r="3985">
      <c r="A3985" s="7"/>
      <c r="B3985" s="7"/>
      <c r="C3985" s="7"/>
      <c r="D3985" s="7"/>
      <c r="E3985" s="7"/>
      <c r="F3985" s="7"/>
      <c r="G3985" s="7"/>
      <c r="H3985" s="7"/>
      <c r="I3985" s="7"/>
      <c r="J3985" s="7"/>
      <c r="K3985" s="7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</row>
    <row r="3986">
      <c r="A3986" s="7"/>
      <c r="B3986" s="7"/>
      <c r="C3986" s="7"/>
      <c r="D3986" s="7"/>
      <c r="E3986" s="7"/>
      <c r="F3986" s="7"/>
      <c r="G3986" s="7"/>
      <c r="H3986" s="7"/>
      <c r="I3986" s="7"/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</row>
    <row r="3987">
      <c r="A3987" s="7"/>
      <c r="B3987" s="7"/>
      <c r="C3987" s="7"/>
      <c r="D3987" s="7"/>
      <c r="E3987" s="7"/>
      <c r="F3987" s="7"/>
      <c r="G3987" s="7"/>
      <c r="H3987" s="7"/>
      <c r="I3987" s="7"/>
      <c r="J3987" s="7"/>
      <c r="K3987" s="7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</row>
    <row r="3988">
      <c r="A3988" s="7"/>
      <c r="B3988" s="7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</row>
    <row r="3989">
      <c r="A3989" s="7"/>
      <c r="B3989" s="7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</row>
    <row r="3990">
      <c r="A3990" s="7"/>
      <c r="B3990" s="7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</row>
    <row r="3991">
      <c r="A3991" s="7"/>
      <c r="B3991" s="7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</row>
    <row r="3992">
      <c r="A3992" s="7"/>
      <c r="B3992" s="7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</row>
    <row r="3993">
      <c r="A3993" s="7"/>
      <c r="B3993" s="7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</row>
    <row r="3994">
      <c r="A3994" s="7"/>
      <c r="B3994" s="7"/>
      <c r="C3994" s="7"/>
      <c r="D3994" s="7"/>
      <c r="E3994" s="7"/>
      <c r="F3994" s="7"/>
      <c r="G3994" s="7"/>
      <c r="H3994" s="7"/>
      <c r="I3994" s="7"/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</row>
    <row r="3995">
      <c r="A3995" s="7"/>
      <c r="B3995" s="7"/>
      <c r="C3995" s="7"/>
      <c r="D3995" s="7"/>
      <c r="E3995" s="7"/>
      <c r="F3995" s="7"/>
      <c r="G3995" s="7"/>
      <c r="H3995" s="7"/>
      <c r="I3995" s="7"/>
      <c r="J3995" s="7"/>
      <c r="K3995" s="7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</row>
    <row r="3996">
      <c r="A3996" s="7"/>
      <c r="B3996" s="7"/>
      <c r="C3996" s="7"/>
      <c r="D3996" s="7"/>
      <c r="E3996" s="7"/>
      <c r="F3996" s="7"/>
      <c r="G3996" s="7"/>
      <c r="H3996" s="7"/>
      <c r="I3996" s="7"/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</row>
    <row r="3997">
      <c r="A3997" s="7"/>
      <c r="B3997" s="7"/>
      <c r="C3997" s="7"/>
      <c r="D3997" s="7"/>
      <c r="E3997" s="7"/>
      <c r="F3997" s="7"/>
      <c r="G3997" s="7"/>
      <c r="H3997" s="7"/>
      <c r="I3997" s="7"/>
      <c r="J3997" s="7"/>
      <c r="K3997" s="7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</row>
    <row r="3998">
      <c r="A3998" s="7"/>
      <c r="B3998" s="7"/>
      <c r="C3998" s="7"/>
      <c r="D3998" s="7"/>
      <c r="E3998" s="7"/>
      <c r="F3998" s="7"/>
      <c r="G3998" s="7"/>
      <c r="H3998" s="7"/>
      <c r="I3998" s="7"/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</row>
    <row r="3999">
      <c r="A3999" s="7"/>
      <c r="B3999" s="7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</row>
    <row r="4000">
      <c r="A4000" s="7"/>
      <c r="B4000" s="7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</row>
    <row r="4001">
      <c r="A4001" s="7"/>
      <c r="B4001" s="7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</row>
    <row r="4002">
      <c r="A4002" s="7"/>
      <c r="B4002" s="7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</row>
    <row r="4003">
      <c r="A4003" s="7"/>
      <c r="B4003" s="7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</row>
    <row r="4004">
      <c r="A4004" s="7"/>
      <c r="B4004" s="7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</row>
    <row r="4005">
      <c r="A4005" s="7"/>
      <c r="B4005" s="7"/>
      <c r="C4005" s="7"/>
      <c r="D4005" s="7"/>
      <c r="E4005" s="7"/>
      <c r="F4005" s="7"/>
      <c r="G4005" s="7"/>
      <c r="H4005" s="7"/>
      <c r="I4005" s="7"/>
      <c r="J4005" s="7"/>
      <c r="K4005" s="7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</row>
    <row r="4006">
      <c r="A4006" s="7"/>
      <c r="B4006" s="7"/>
      <c r="C4006" s="7"/>
      <c r="D4006" s="7"/>
      <c r="E4006" s="7"/>
      <c r="F4006" s="7"/>
      <c r="G4006" s="7"/>
      <c r="H4006" s="7"/>
      <c r="I4006" s="7"/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</row>
    <row r="4007">
      <c r="A4007" s="7"/>
      <c r="B4007" s="7"/>
      <c r="C4007" s="7"/>
      <c r="D4007" s="7"/>
      <c r="E4007" s="7"/>
      <c r="F4007" s="7"/>
      <c r="G4007" s="7"/>
      <c r="H4007" s="7"/>
      <c r="I4007" s="7"/>
      <c r="J4007" s="7"/>
      <c r="K4007" s="7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</row>
    <row r="4008">
      <c r="A4008" s="7"/>
      <c r="B4008" s="7"/>
      <c r="C4008" s="7"/>
      <c r="D4008" s="7"/>
      <c r="E4008" s="7"/>
      <c r="F4008" s="7"/>
      <c r="G4008" s="7"/>
      <c r="H4008" s="7"/>
      <c r="I4008" s="7"/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</row>
    <row r="4009">
      <c r="A4009" s="7"/>
      <c r="B4009" s="7"/>
      <c r="C4009" s="7"/>
      <c r="D4009" s="7"/>
      <c r="E4009" s="7"/>
      <c r="F4009" s="7"/>
      <c r="G4009" s="7"/>
      <c r="H4009" s="7"/>
      <c r="I4009" s="7"/>
      <c r="J4009" s="7"/>
      <c r="K4009" s="7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</row>
    <row r="4010">
      <c r="A4010" s="7"/>
      <c r="B4010" s="7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</row>
    <row r="4011">
      <c r="A4011" s="7"/>
      <c r="B4011" s="7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</row>
    <row r="4012">
      <c r="A4012" s="7"/>
      <c r="B4012" s="7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</row>
    <row r="4013">
      <c r="A4013" s="7"/>
      <c r="B4013" s="7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</row>
    <row r="4014">
      <c r="A4014" s="7"/>
      <c r="B4014" s="7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</row>
    <row r="4015">
      <c r="A4015" s="7"/>
      <c r="B4015" s="7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</row>
    <row r="4016">
      <c r="A4016" s="7"/>
      <c r="B4016" s="7"/>
      <c r="C4016" s="7"/>
      <c r="D4016" s="7"/>
      <c r="E4016" s="7"/>
      <c r="F4016" s="7"/>
      <c r="G4016" s="7"/>
      <c r="H4016" s="7"/>
      <c r="I4016" s="7"/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</row>
    <row r="4017">
      <c r="A4017" s="7"/>
      <c r="B4017" s="7"/>
      <c r="C4017" s="7"/>
      <c r="D4017" s="7"/>
      <c r="E4017" s="7"/>
      <c r="F4017" s="7"/>
      <c r="G4017" s="7"/>
      <c r="H4017" s="7"/>
      <c r="I4017" s="7"/>
      <c r="J4017" s="7"/>
      <c r="K4017" s="7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</row>
    <row r="4018">
      <c r="A4018" s="7"/>
      <c r="B4018" s="7"/>
      <c r="C4018" s="7"/>
      <c r="D4018" s="7"/>
      <c r="E4018" s="7"/>
      <c r="F4018" s="7"/>
      <c r="G4018" s="7"/>
      <c r="H4018" s="7"/>
      <c r="I4018" s="7"/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</row>
    <row r="4019">
      <c r="A4019" s="7"/>
      <c r="B4019" s="7"/>
      <c r="C4019" s="7"/>
      <c r="D4019" s="7"/>
      <c r="E4019" s="7"/>
      <c r="F4019" s="7"/>
      <c r="G4019" s="7"/>
      <c r="H4019" s="7"/>
      <c r="I4019" s="7"/>
      <c r="J4019" s="7"/>
      <c r="K4019" s="7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</row>
    <row r="4020">
      <c r="A4020" s="7"/>
      <c r="B4020" s="7"/>
      <c r="C4020" s="7"/>
      <c r="D4020" s="7"/>
      <c r="E4020" s="7"/>
      <c r="F4020" s="7"/>
      <c r="G4020" s="7"/>
      <c r="H4020" s="7"/>
      <c r="I4020" s="7"/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</row>
    <row r="4021">
      <c r="A4021" s="7"/>
      <c r="B4021" s="7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</row>
    <row r="4022">
      <c r="A4022" s="7"/>
      <c r="B4022" s="7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</row>
    <row r="4023">
      <c r="A4023" s="7"/>
      <c r="B4023" s="7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</row>
    <row r="4024">
      <c r="A4024" s="7"/>
      <c r="B4024" s="7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</row>
    <row r="4025">
      <c r="A4025" s="7"/>
      <c r="B4025" s="7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</row>
    <row r="4026">
      <c r="A4026" s="7"/>
      <c r="B4026" s="7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</row>
    <row r="4027">
      <c r="A4027" s="7"/>
      <c r="B4027" s="7"/>
      <c r="C4027" s="7"/>
      <c r="D4027" s="7"/>
      <c r="E4027" s="7"/>
      <c r="F4027" s="7"/>
      <c r="G4027" s="7"/>
      <c r="H4027" s="7"/>
      <c r="I4027" s="7"/>
      <c r="J4027" s="7"/>
      <c r="K4027" s="7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</row>
    <row r="4028">
      <c r="A4028" s="7"/>
      <c r="B4028" s="7"/>
      <c r="C4028" s="7"/>
      <c r="D4028" s="7"/>
      <c r="E4028" s="7"/>
      <c r="F4028" s="7"/>
      <c r="G4028" s="7"/>
      <c r="H4028" s="7"/>
      <c r="I4028" s="7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</row>
    <row r="4029">
      <c r="A4029" s="7"/>
      <c r="B4029" s="7"/>
      <c r="C4029" s="7"/>
      <c r="D4029" s="7"/>
      <c r="E4029" s="7"/>
      <c r="F4029" s="7"/>
      <c r="G4029" s="7"/>
      <c r="H4029" s="7"/>
      <c r="I4029" s="7"/>
      <c r="J4029" s="7"/>
      <c r="K4029" s="7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</row>
    <row r="4030">
      <c r="A4030" s="7"/>
      <c r="B4030" s="7"/>
      <c r="C4030" s="7"/>
      <c r="D4030" s="7"/>
      <c r="E4030" s="7"/>
      <c r="F4030" s="7"/>
      <c r="G4030" s="7"/>
      <c r="H4030" s="7"/>
      <c r="I4030" s="7"/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</row>
    <row r="4031">
      <c r="A4031" s="7"/>
      <c r="B4031" s="7"/>
      <c r="C4031" s="7"/>
      <c r="D4031" s="7"/>
      <c r="E4031" s="7"/>
      <c r="F4031" s="7"/>
      <c r="G4031" s="7"/>
      <c r="H4031" s="7"/>
      <c r="I4031" s="7"/>
      <c r="J4031" s="7"/>
      <c r="K4031" s="7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</row>
    <row r="4032">
      <c r="A4032" s="7"/>
      <c r="B4032" s="7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</row>
    <row r="4033">
      <c r="A4033" s="7"/>
      <c r="B4033" s="7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</row>
    <row r="4034">
      <c r="A4034" s="7"/>
      <c r="B4034" s="7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</row>
    <row r="4035">
      <c r="A4035" s="7"/>
      <c r="B4035" s="7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</row>
    <row r="4036">
      <c r="A4036" s="7"/>
      <c r="B4036" s="7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</row>
    <row r="4037">
      <c r="A4037" s="7"/>
      <c r="B4037" s="7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</row>
    <row r="4038">
      <c r="A4038" s="7"/>
      <c r="B4038" s="7"/>
      <c r="C4038" s="7"/>
      <c r="D4038" s="7"/>
      <c r="E4038" s="7"/>
      <c r="F4038" s="7"/>
      <c r="G4038" s="7"/>
      <c r="H4038" s="7"/>
      <c r="I4038" s="7"/>
      <c r="J4038" s="7"/>
      <c r="K4038" s="7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</row>
    <row r="4039">
      <c r="A4039" s="7"/>
      <c r="B4039" s="7"/>
      <c r="C4039" s="7"/>
      <c r="D4039" s="7"/>
      <c r="E4039" s="7"/>
      <c r="F4039" s="7"/>
      <c r="G4039" s="7"/>
      <c r="H4039" s="7"/>
      <c r="I4039" s="7"/>
      <c r="J4039" s="7"/>
      <c r="K4039" s="7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</row>
    <row r="4040">
      <c r="A4040" s="7"/>
      <c r="B4040" s="7"/>
      <c r="C4040" s="7"/>
      <c r="D4040" s="7"/>
      <c r="E4040" s="7"/>
      <c r="F4040" s="7"/>
      <c r="G4040" s="7"/>
      <c r="H4040" s="7"/>
      <c r="I4040" s="7"/>
      <c r="J4040" s="7"/>
      <c r="K4040" s="7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</row>
    <row r="4041">
      <c r="A4041" s="7"/>
      <c r="B4041" s="7"/>
      <c r="C4041" s="7"/>
      <c r="D4041" s="7"/>
      <c r="E4041" s="7"/>
      <c r="F4041" s="7"/>
      <c r="G4041" s="7"/>
      <c r="H4041" s="7"/>
      <c r="I4041" s="7"/>
      <c r="J4041" s="7"/>
      <c r="K4041" s="7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</row>
    <row r="4042">
      <c r="A4042" s="7"/>
      <c r="B4042" s="7"/>
      <c r="C4042" s="7"/>
      <c r="D4042" s="7"/>
      <c r="E4042" s="7"/>
      <c r="F4042" s="7"/>
      <c r="G4042" s="7"/>
      <c r="H4042" s="7"/>
      <c r="I4042" s="7"/>
      <c r="J4042" s="7"/>
      <c r="K4042" s="7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</row>
    <row r="4043">
      <c r="A4043" s="7"/>
      <c r="B4043" s="7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</row>
    <row r="4044">
      <c r="A4044" s="7"/>
      <c r="B4044" s="7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</row>
    <row r="4045">
      <c r="A4045" s="7"/>
      <c r="B4045" s="7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</row>
    <row r="4046">
      <c r="A4046" s="7"/>
      <c r="B4046" s="7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</row>
    <row r="4047">
      <c r="A4047" s="7"/>
      <c r="B4047" s="7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</row>
    <row r="4048">
      <c r="A4048" s="7"/>
      <c r="B4048" s="7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</row>
    <row r="4049">
      <c r="A4049" s="7"/>
      <c r="B4049" s="7"/>
      <c r="C4049" s="7"/>
      <c r="D4049" s="7"/>
      <c r="E4049" s="7"/>
      <c r="F4049" s="7"/>
      <c r="G4049" s="7"/>
      <c r="H4049" s="7"/>
      <c r="I4049" s="7"/>
      <c r="J4049" s="7"/>
      <c r="K4049" s="7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</row>
    <row r="4050">
      <c r="A4050" s="7"/>
      <c r="B4050" s="7"/>
      <c r="C4050" s="7"/>
      <c r="D4050" s="7"/>
      <c r="E4050" s="7"/>
      <c r="F4050" s="7"/>
      <c r="G4050" s="7"/>
      <c r="H4050" s="7"/>
      <c r="I4050" s="7"/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</row>
    <row r="4051">
      <c r="A4051" s="7"/>
      <c r="B4051" s="7"/>
      <c r="C4051" s="7"/>
      <c r="D4051" s="7"/>
      <c r="E4051" s="7"/>
      <c r="F4051" s="7"/>
      <c r="G4051" s="7"/>
      <c r="H4051" s="7"/>
      <c r="I4051" s="7"/>
      <c r="J4051" s="7"/>
      <c r="K4051" s="7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</row>
    <row r="4052">
      <c r="A4052" s="7"/>
      <c r="B4052" s="7"/>
      <c r="C4052" s="7"/>
      <c r="D4052" s="7"/>
      <c r="E4052" s="7"/>
      <c r="F4052" s="7"/>
      <c r="G4052" s="7"/>
      <c r="H4052" s="7"/>
      <c r="I4052" s="7"/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</row>
    <row r="4053">
      <c r="A4053" s="7"/>
      <c r="B4053" s="7"/>
      <c r="C4053" s="7"/>
      <c r="D4053" s="7"/>
      <c r="E4053" s="7"/>
      <c r="F4053" s="7"/>
      <c r="G4053" s="7"/>
      <c r="H4053" s="7"/>
      <c r="I4053" s="7"/>
      <c r="J4053" s="7"/>
      <c r="K4053" s="7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</row>
    <row r="4054">
      <c r="A4054" s="7"/>
      <c r="B4054" s="7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</row>
    <row r="4055">
      <c r="A4055" s="7"/>
      <c r="B4055" s="7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</row>
    <row r="4056">
      <c r="A4056" s="7"/>
      <c r="B4056" s="7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</row>
    <row r="4057">
      <c r="A4057" s="7"/>
      <c r="B4057" s="7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</row>
    <row r="4058">
      <c r="A4058" s="7"/>
      <c r="B4058" s="7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</row>
    <row r="4059">
      <c r="A4059" s="7"/>
      <c r="B4059" s="7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</row>
    <row r="4060">
      <c r="A4060" s="7"/>
      <c r="B4060" s="7"/>
      <c r="C4060" s="7"/>
      <c r="D4060" s="7"/>
      <c r="E4060" s="7"/>
      <c r="F4060" s="7"/>
      <c r="G4060" s="7"/>
      <c r="H4060" s="7"/>
      <c r="I4060" s="7"/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</row>
    <row r="4061">
      <c r="A4061" s="7"/>
      <c r="B4061" s="7"/>
      <c r="C4061" s="7"/>
      <c r="D4061" s="7"/>
      <c r="E4061" s="7"/>
      <c r="F4061" s="7"/>
      <c r="G4061" s="7"/>
      <c r="H4061" s="7"/>
      <c r="I4061" s="7"/>
      <c r="J4061" s="7"/>
      <c r="K4061" s="7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</row>
    <row r="4062">
      <c r="A4062" s="7"/>
      <c r="B4062" s="7"/>
      <c r="C4062" s="7"/>
      <c r="D4062" s="7"/>
      <c r="E4062" s="7"/>
      <c r="F4062" s="7"/>
      <c r="G4062" s="7"/>
      <c r="H4062" s="7"/>
      <c r="I4062" s="7"/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</row>
    <row r="4063">
      <c r="A4063" s="7"/>
      <c r="B4063" s="7"/>
      <c r="C4063" s="7"/>
      <c r="D4063" s="7"/>
      <c r="E4063" s="7"/>
      <c r="F4063" s="7"/>
      <c r="G4063" s="7"/>
      <c r="H4063" s="7"/>
      <c r="I4063" s="7"/>
      <c r="J4063" s="7"/>
      <c r="K4063" s="7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</row>
    <row r="4064">
      <c r="A4064" s="7"/>
      <c r="B4064" s="7"/>
      <c r="C4064" s="7"/>
      <c r="D4064" s="7"/>
      <c r="E4064" s="7"/>
      <c r="F4064" s="7"/>
      <c r="G4064" s="7"/>
      <c r="H4064" s="7"/>
      <c r="I4064" s="7"/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</row>
    <row r="4065">
      <c r="A4065" s="7"/>
      <c r="B4065" s="7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</row>
    <row r="4066">
      <c r="A4066" s="7"/>
      <c r="B4066" s="7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</row>
    <row r="4067">
      <c r="A4067" s="7"/>
      <c r="B4067" s="7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</row>
    <row r="4068">
      <c r="A4068" s="7"/>
      <c r="B4068" s="7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</row>
    <row r="4069">
      <c r="A4069" s="7"/>
      <c r="B4069" s="7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</row>
    <row r="4070">
      <c r="A4070" s="7"/>
      <c r="B4070" s="7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</row>
    <row r="4071">
      <c r="A4071" s="7"/>
      <c r="B4071" s="7"/>
      <c r="C4071" s="7"/>
      <c r="D4071" s="7"/>
      <c r="E4071" s="7"/>
      <c r="F4071" s="7"/>
      <c r="G4071" s="7"/>
      <c r="H4071" s="7"/>
      <c r="I4071" s="7"/>
      <c r="J4071" s="7"/>
      <c r="K4071" s="7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</row>
    <row r="4072">
      <c r="A4072" s="7"/>
      <c r="B4072" s="7"/>
      <c r="C4072" s="7"/>
      <c r="D4072" s="7"/>
      <c r="E4072" s="7"/>
      <c r="F4072" s="7"/>
      <c r="G4072" s="7"/>
      <c r="H4072" s="7"/>
      <c r="I4072" s="7"/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</row>
    <row r="4073">
      <c r="A4073" s="7"/>
      <c r="B4073" s="7"/>
      <c r="C4073" s="7"/>
      <c r="D4073" s="7"/>
      <c r="E4073" s="7"/>
      <c r="F4073" s="7"/>
      <c r="G4073" s="7"/>
      <c r="H4073" s="7"/>
      <c r="I4073" s="7"/>
      <c r="J4073" s="7"/>
      <c r="K4073" s="7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</row>
    <row r="4074">
      <c r="A4074" s="7"/>
      <c r="B4074" s="7"/>
      <c r="C4074" s="7"/>
      <c r="D4074" s="7"/>
      <c r="E4074" s="7"/>
      <c r="F4074" s="7"/>
      <c r="G4074" s="7"/>
      <c r="H4074" s="7"/>
      <c r="I4074" s="7"/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</row>
    <row r="4075">
      <c r="A4075" s="7"/>
      <c r="B4075" s="7"/>
      <c r="C4075" s="7"/>
      <c r="D4075" s="7"/>
      <c r="E4075" s="7"/>
      <c r="F4075" s="7"/>
      <c r="G4075" s="7"/>
      <c r="H4075" s="7"/>
      <c r="I4075" s="7"/>
      <c r="J4075" s="7"/>
      <c r="K4075" s="7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</row>
    <row r="4076">
      <c r="A4076" s="7"/>
      <c r="B4076" s="7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</row>
    <row r="4077">
      <c r="A4077" s="7"/>
      <c r="B4077" s="7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</row>
    <row r="4078">
      <c r="A4078" s="7"/>
      <c r="B4078" s="7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</row>
    <row r="4079">
      <c r="A4079" s="7"/>
      <c r="B4079" s="7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</row>
    <row r="4080">
      <c r="A4080" s="7"/>
      <c r="B4080" s="7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</row>
    <row r="4081">
      <c r="A4081" s="7"/>
      <c r="B4081" s="7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</row>
    <row r="4082">
      <c r="A4082" s="7"/>
      <c r="B4082" s="7"/>
      <c r="C4082" s="7"/>
      <c r="D4082" s="7"/>
      <c r="E4082" s="7"/>
      <c r="F4082" s="7"/>
      <c r="G4082" s="7"/>
      <c r="H4082" s="7"/>
      <c r="I4082" s="7"/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</row>
    <row r="4083">
      <c r="A4083" s="7"/>
      <c r="B4083" s="7"/>
      <c r="C4083" s="7"/>
      <c r="D4083" s="7"/>
      <c r="E4083" s="7"/>
      <c r="F4083" s="7"/>
      <c r="G4083" s="7"/>
      <c r="H4083" s="7"/>
      <c r="I4083" s="7"/>
      <c r="J4083" s="7"/>
      <c r="K4083" s="7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</row>
    <row r="4084">
      <c r="A4084" s="7"/>
      <c r="B4084" s="7"/>
      <c r="C4084" s="7"/>
      <c r="D4084" s="7"/>
      <c r="E4084" s="7"/>
      <c r="F4084" s="7"/>
      <c r="G4084" s="7"/>
      <c r="H4084" s="7"/>
      <c r="I4084" s="7"/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</row>
    <row r="4085">
      <c r="A4085" s="7"/>
      <c r="B4085" s="7"/>
      <c r="C4085" s="7"/>
      <c r="D4085" s="7"/>
      <c r="E4085" s="7"/>
      <c r="F4085" s="7"/>
      <c r="G4085" s="7"/>
      <c r="H4085" s="7"/>
      <c r="I4085" s="7"/>
      <c r="J4085" s="7"/>
      <c r="K4085" s="7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</row>
    <row r="4086">
      <c r="A4086" s="7"/>
      <c r="B4086" s="7"/>
      <c r="C4086" s="7"/>
      <c r="D4086" s="7"/>
      <c r="E4086" s="7"/>
      <c r="F4086" s="7"/>
      <c r="G4086" s="7"/>
      <c r="H4086" s="7"/>
      <c r="I4086" s="7"/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</row>
    <row r="4087">
      <c r="A4087" s="7"/>
      <c r="B4087" s="7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</row>
    <row r="4088">
      <c r="A4088" s="7"/>
      <c r="B4088" s="7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</row>
    <row r="4089">
      <c r="A4089" s="7"/>
      <c r="B4089" s="7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</row>
    <row r="4090">
      <c r="A4090" s="7"/>
      <c r="B4090" s="7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</row>
    <row r="4091">
      <c r="A4091" s="7"/>
      <c r="B4091" s="7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</row>
    <row r="4092">
      <c r="A4092" s="7"/>
      <c r="B4092" s="7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</row>
    <row r="4093">
      <c r="A4093" s="7"/>
      <c r="B4093" s="7"/>
      <c r="C4093" s="7"/>
      <c r="D4093" s="7"/>
      <c r="E4093" s="7"/>
      <c r="F4093" s="7"/>
      <c r="G4093" s="7"/>
      <c r="H4093" s="7"/>
      <c r="I4093" s="7"/>
      <c r="J4093" s="7"/>
      <c r="K4093" s="7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</row>
    <row r="4094">
      <c r="A4094" s="7"/>
      <c r="B4094" s="7"/>
      <c r="C4094" s="7"/>
      <c r="D4094" s="7"/>
      <c r="E4094" s="7"/>
      <c r="F4094" s="7"/>
      <c r="G4094" s="7"/>
      <c r="H4094" s="7"/>
      <c r="I4094" s="7"/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</row>
    <row r="4095">
      <c r="A4095" s="7"/>
      <c r="B4095" s="7"/>
      <c r="C4095" s="7"/>
      <c r="D4095" s="7"/>
      <c r="E4095" s="7"/>
      <c r="F4095" s="7"/>
      <c r="G4095" s="7"/>
      <c r="H4095" s="7"/>
      <c r="I4095" s="7"/>
      <c r="J4095" s="7"/>
      <c r="K4095" s="7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</row>
    <row r="4096">
      <c r="A4096" s="7"/>
      <c r="B4096" s="7"/>
      <c r="C4096" s="7"/>
      <c r="D4096" s="7"/>
      <c r="E4096" s="7"/>
      <c r="F4096" s="7"/>
      <c r="G4096" s="7"/>
      <c r="H4096" s="7"/>
      <c r="I4096" s="7"/>
      <c r="J4096" s="7"/>
      <c r="K4096" s="7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</row>
    <row r="4097">
      <c r="A4097" s="7"/>
      <c r="B4097" s="7"/>
      <c r="C4097" s="7"/>
      <c r="D4097" s="7"/>
      <c r="E4097" s="7"/>
      <c r="F4097" s="7"/>
      <c r="G4097" s="7"/>
      <c r="H4097" s="7"/>
      <c r="I4097" s="7"/>
      <c r="J4097" s="7"/>
      <c r="K4097" s="7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</row>
    <row r="4098">
      <c r="A4098" s="7"/>
      <c r="B4098" s="7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</row>
    <row r="4099">
      <c r="A4099" s="7"/>
      <c r="B4099" s="7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</row>
    <row r="4100">
      <c r="A4100" s="7"/>
      <c r="B4100" s="7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</row>
    <row r="4101">
      <c r="A4101" s="7"/>
      <c r="B4101" s="7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</row>
    <row r="4102">
      <c r="A4102" s="7"/>
      <c r="B4102" s="7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</row>
    <row r="4103">
      <c r="A4103" s="7"/>
      <c r="B4103" s="7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</row>
    <row r="4104">
      <c r="A4104" s="7"/>
      <c r="B4104" s="7"/>
      <c r="C4104" s="7"/>
      <c r="D4104" s="7"/>
      <c r="E4104" s="7"/>
      <c r="F4104" s="7"/>
      <c r="G4104" s="7"/>
      <c r="H4104" s="7"/>
      <c r="I4104" s="7"/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</row>
    <row r="4105">
      <c r="A4105" s="7"/>
      <c r="B4105" s="7"/>
      <c r="C4105" s="7"/>
      <c r="D4105" s="7"/>
      <c r="E4105" s="7"/>
      <c r="F4105" s="7"/>
      <c r="G4105" s="7"/>
      <c r="H4105" s="7"/>
      <c r="I4105" s="7"/>
      <c r="J4105" s="7"/>
      <c r="K4105" s="7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</row>
    <row r="4106">
      <c r="A4106" s="7"/>
      <c r="B4106" s="7"/>
      <c r="C4106" s="7"/>
      <c r="D4106" s="7"/>
      <c r="E4106" s="7"/>
      <c r="F4106" s="7"/>
      <c r="G4106" s="7"/>
      <c r="H4106" s="7"/>
      <c r="I4106" s="7"/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</row>
    <row r="4107">
      <c r="A4107" s="7"/>
      <c r="B4107" s="7"/>
      <c r="C4107" s="7"/>
      <c r="D4107" s="7"/>
      <c r="E4107" s="7"/>
      <c r="F4107" s="7"/>
      <c r="G4107" s="7"/>
      <c r="H4107" s="7"/>
      <c r="I4107" s="7"/>
      <c r="J4107" s="7"/>
      <c r="K4107" s="7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</row>
    <row r="4108">
      <c r="A4108" s="7"/>
      <c r="B4108" s="7"/>
      <c r="C4108" s="7"/>
      <c r="D4108" s="7"/>
      <c r="E4108" s="7"/>
      <c r="F4108" s="7"/>
      <c r="G4108" s="7"/>
      <c r="H4108" s="7"/>
      <c r="I4108" s="7"/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</row>
    <row r="4109">
      <c r="A4109" s="7"/>
      <c r="B4109" s="7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</row>
    <row r="4110">
      <c r="A4110" s="7"/>
      <c r="B4110" s="7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</row>
    <row r="4111">
      <c r="A4111" s="7"/>
      <c r="B4111" s="7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</row>
    <row r="4112">
      <c r="A4112" s="7"/>
      <c r="B4112" s="7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</row>
    <row r="4113">
      <c r="A4113" s="7"/>
      <c r="B4113" s="7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</row>
    <row r="4114">
      <c r="A4114" s="7"/>
      <c r="B4114" s="7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</row>
    <row r="4115">
      <c r="A4115" s="7"/>
      <c r="B4115" s="7"/>
      <c r="C4115" s="7"/>
      <c r="D4115" s="7"/>
      <c r="E4115" s="7"/>
      <c r="F4115" s="7"/>
      <c r="G4115" s="7"/>
      <c r="H4115" s="7"/>
      <c r="I4115" s="7"/>
      <c r="J4115" s="7"/>
      <c r="K4115" s="7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</row>
    <row r="4116">
      <c r="A4116" s="7"/>
      <c r="B4116" s="7"/>
      <c r="C4116" s="7"/>
      <c r="D4116" s="7"/>
      <c r="E4116" s="7"/>
      <c r="F4116" s="7"/>
      <c r="G4116" s="7"/>
      <c r="H4116" s="7"/>
      <c r="I4116" s="7"/>
      <c r="J4116" s="7"/>
      <c r="K4116" s="7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</row>
    <row r="4117">
      <c r="A4117" s="7"/>
      <c r="B4117" s="7"/>
      <c r="C4117" s="7"/>
      <c r="D4117" s="7"/>
      <c r="E4117" s="7"/>
      <c r="F4117" s="7"/>
      <c r="G4117" s="7"/>
      <c r="H4117" s="7"/>
      <c r="I4117" s="7"/>
      <c r="J4117" s="7"/>
      <c r="K4117" s="7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</row>
    <row r="4118">
      <c r="A4118" s="7"/>
      <c r="B4118" s="7"/>
      <c r="C4118" s="7"/>
      <c r="D4118" s="7"/>
      <c r="E4118" s="7"/>
      <c r="F4118" s="7"/>
      <c r="G4118" s="7"/>
      <c r="H4118" s="7"/>
      <c r="I4118" s="7"/>
      <c r="J4118" s="7"/>
      <c r="K4118" s="7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</row>
    <row r="4119">
      <c r="A4119" s="7"/>
      <c r="B4119" s="7"/>
      <c r="C4119" s="7"/>
      <c r="D4119" s="7"/>
      <c r="E4119" s="7"/>
      <c r="F4119" s="7"/>
      <c r="G4119" s="7"/>
      <c r="H4119" s="7"/>
      <c r="I4119" s="7"/>
      <c r="J4119" s="7"/>
      <c r="K4119" s="7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</row>
    <row r="4120">
      <c r="A4120" s="7"/>
      <c r="B4120" s="7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</row>
    <row r="4121">
      <c r="A4121" s="7"/>
      <c r="B4121" s="7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</row>
    <row r="4122">
      <c r="A4122" s="7"/>
      <c r="B4122" s="7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</row>
    <row r="4123">
      <c r="A4123" s="7"/>
      <c r="B4123" s="7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</row>
    <row r="4124">
      <c r="A4124" s="7"/>
      <c r="B4124" s="7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</row>
    <row r="4125">
      <c r="A4125" s="7"/>
      <c r="B4125" s="7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</row>
    <row r="4126">
      <c r="A4126" s="7"/>
      <c r="B4126" s="7"/>
      <c r="C4126" s="7"/>
      <c r="D4126" s="7"/>
      <c r="E4126" s="7"/>
      <c r="F4126" s="7"/>
      <c r="G4126" s="7"/>
      <c r="H4126" s="7"/>
      <c r="I4126" s="7"/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</row>
    <row r="4127">
      <c r="A4127" s="7"/>
      <c r="B4127" s="7"/>
      <c r="C4127" s="7"/>
      <c r="D4127" s="7"/>
      <c r="E4127" s="7"/>
      <c r="F4127" s="7"/>
      <c r="G4127" s="7"/>
      <c r="H4127" s="7"/>
      <c r="I4127" s="7"/>
      <c r="J4127" s="7"/>
      <c r="K4127" s="7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</row>
    <row r="4128">
      <c r="A4128" s="7"/>
      <c r="B4128" s="7"/>
      <c r="C4128" s="7"/>
      <c r="D4128" s="7"/>
      <c r="E4128" s="7"/>
      <c r="F4128" s="7"/>
      <c r="G4128" s="7"/>
      <c r="H4128" s="7"/>
      <c r="I4128" s="7"/>
      <c r="J4128" s="7"/>
      <c r="K4128" s="7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</row>
    <row r="4129">
      <c r="A4129" s="7"/>
      <c r="B4129" s="7"/>
      <c r="C4129" s="7"/>
      <c r="D4129" s="7"/>
      <c r="E4129" s="7"/>
      <c r="F4129" s="7"/>
      <c r="G4129" s="7"/>
      <c r="H4129" s="7"/>
      <c r="I4129" s="7"/>
      <c r="J4129" s="7"/>
      <c r="K4129" s="7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</row>
    <row r="4130">
      <c r="A4130" s="7"/>
      <c r="B4130" s="7"/>
      <c r="C4130" s="7"/>
      <c r="D4130" s="7"/>
      <c r="E4130" s="7"/>
      <c r="F4130" s="7"/>
      <c r="G4130" s="7"/>
      <c r="H4130" s="7"/>
      <c r="I4130" s="7"/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</row>
    <row r="4131">
      <c r="A4131" s="7"/>
      <c r="B4131" s="7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</row>
    <row r="4132">
      <c r="A4132" s="7"/>
      <c r="B4132" s="7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</row>
    <row r="4133">
      <c r="A4133" s="7"/>
      <c r="B4133" s="7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</row>
    <row r="4134">
      <c r="A4134" s="7"/>
      <c r="B4134" s="7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</row>
    <row r="4135">
      <c r="A4135" s="7"/>
      <c r="B4135" s="7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</row>
    <row r="4136">
      <c r="A4136" s="7"/>
      <c r="B4136" s="7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</row>
    <row r="4137">
      <c r="A4137" s="7"/>
      <c r="B4137" s="7"/>
      <c r="C4137" s="7"/>
      <c r="D4137" s="7"/>
      <c r="E4137" s="7"/>
      <c r="F4137" s="7"/>
      <c r="G4137" s="7"/>
      <c r="H4137" s="7"/>
      <c r="I4137" s="7"/>
      <c r="J4137" s="7"/>
      <c r="K4137" s="7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</row>
    <row r="4138">
      <c r="A4138" s="7"/>
      <c r="B4138" s="7"/>
      <c r="C4138" s="7"/>
      <c r="D4138" s="7"/>
      <c r="E4138" s="7"/>
      <c r="F4138" s="7"/>
      <c r="G4138" s="7"/>
      <c r="H4138" s="7"/>
      <c r="I4138" s="7"/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</row>
    <row r="4139">
      <c r="A4139" s="7"/>
      <c r="B4139" s="7"/>
      <c r="C4139" s="7"/>
      <c r="D4139" s="7"/>
      <c r="E4139" s="7"/>
      <c r="F4139" s="7"/>
      <c r="G4139" s="7"/>
      <c r="H4139" s="7"/>
      <c r="I4139" s="7"/>
      <c r="J4139" s="7"/>
      <c r="K4139" s="7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</row>
    <row r="4140">
      <c r="A4140" s="7"/>
      <c r="B4140" s="7"/>
      <c r="C4140" s="7"/>
      <c r="D4140" s="7"/>
      <c r="E4140" s="7"/>
      <c r="F4140" s="7"/>
      <c r="G4140" s="7"/>
      <c r="H4140" s="7"/>
      <c r="I4140" s="7"/>
      <c r="J4140" s="7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</row>
    <row r="4141">
      <c r="A4141" s="7"/>
      <c r="B4141" s="7"/>
      <c r="C4141" s="7"/>
      <c r="D4141" s="7"/>
      <c r="E4141" s="7"/>
      <c r="F4141" s="7"/>
      <c r="G4141" s="7"/>
      <c r="H4141" s="7"/>
      <c r="I4141" s="7"/>
      <c r="J4141" s="7"/>
      <c r="K4141" s="7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</row>
    <row r="4142">
      <c r="A4142" s="7"/>
      <c r="B4142" s="7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</row>
    <row r="4143">
      <c r="A4143" s="7"/>
      <c r="B4143" s="7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</row>
    <row r="4144">
      <c r="A4144" s="7"/>
      <c r="B4144" s="7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</row>
    <row r="4145">
      <c r="A4145" s="7"/>
      <c r="B4145" s="7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</row>
    <row r="4146">
      <c r="A4146" s="7"/>
      <c r="B4146" s="7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</row>
    <row r="4147">
      <c r="A4147" s="7"/>
      <c r="B4147" s="7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</row>
    <row r="4148">
      <c r="A4148" s="7"/>
      <c r="B4148" s="7"/>
      <c r="C4148" s="7"/>
      <c r="D4148" s="7"/>
      <c r="E4148" s="7"/>
      <c r="F4148" s="7"/>
      <c r="G4148" s="7"/>
      <c r="H4148" s="7"/>
      <c r="I4148" s="7"/>
      <c r="J4148" s="7"/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</row>
    <row r="4149">
      <c r="A4149" s="7"/>
      <c r="B4149" s="7"/>
      <c r="C4149" s="7"/>
      <c r="D4149" s="7"/>
      <c r="E4149" s="7"/>
      <c r="F4149" s="7"/>
      <c r="G4149" s="7"/>
      <c r="H4149" s="7"/>
      <c r="I4149" s="7"/>
      <c r="J4149" s="7"/>
      <c r="K4149" s="7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</row>
    <row r="4150">
      <c r="A4150" s="7"/>
      <c r="B4150" s="7"/>
      <c r="C4150" s="7"/>
      <c r="D4150" s="7"/>
      <c r="E4150" s="7"/>
      <c r="F4150" s="7"/>
      <c r="G4150" s="7"/>
      <c r="H4150" s="7"/>
      <c r="I4150" s="7"/>
      <c r="J4150" s="7"/>
      <c r="K4150" s="7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</row>
    <row r="4151">
      <c r="A4151" s="7"/>
      <c r="B4151" s="7"/>
      <c r="C4151" s="7"/>
      <c r="D4151" s="7"/>
      <c r="E4151" s="7"/>
      <c r="F4151" s="7"/>
      <c r="G4151" s="7"/>
      <c r="H4151" s="7"/>
      <c r="I4151" s="7"/>
      <c r="J4151" s="7"/>
      <c r="K4151" s="7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</row>
    <row r="4152">
      <c r="A4152" s="7"/>
      <c r="B4152" s="7"/>
      <c r="C4152" s="7"/>
      <c r="D4152" s="7"/>
      <c r="E4152" s="7"/>
      <c r="F4152" s="7"/>
      <c r="G4152" s="7"/>
      <c r="H4152" s="7"/>
      <c r="I4152" s="7"/>
      <c r="J4152" s="7"/>
      <c r="K4152" s="7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</row>
    <row r="4153">
      <c r="A4153" s="7"/>
      <c r="B4153" s="7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</row>
    <row r="4154">
      <c r="A4154" s="7"/>
      <c r="B4154" s="7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</row>
    <row r="4155">
      <c r="A4155" s="7"/>
      <c r="B4155" s="7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</row>
    <row r="4156">
      <c r="A4156" s="7"/>
      <c r="B4156" s="7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</row>
    <row r="4157">
      <c r="A4157" s="7"/>
      <c r="B4157" s="7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</row>
    <row r="4158">
      <c r="A4158" s="7"/>
      <c r="B4158" s="7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</row>
    <row r="4159">
      <c r="A4159" s="7"/>
      <c r="B4159" s="7"/>
      <c r="C4159" s="7"/>
      <c r="D4159" s="7"/>
      <c r="E4159" s="7"/>
      <c r="F4159" s="7"/>
      <c r="G4159" s="7"/>
      <c r="H4159" s="7"/>
      <c r="I4159" s="7"/>
      <c r="J4159" s="7"/>
      <c r="K4159" s="7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</row>
    <row r="4160">
      <c r="A4160" s="7"/>
      <c r="B4160" s="7"/>
      <c r="C4160" s="7"/>
      <c r="D4160" s="7"/>
      <c r="E4160" s="7"/>
      <c r="F4160" s="7"/>
      <c r="G4160" s="7"/>
      <c r="H4160" s="7"/>
      <c r="I4160" s="7"/>
      <c r="J4160" s="7"/>
      <c r="K4160" s="7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</row>
    <row r="4161">
      <c r="A4161" s="7"/>
      <c r="B4161" s="7"/>
      <c r="C4161" s="7"/>
      <c r="D4161" s="7"/>
      <c r="E4161" s="7"/>
      <c r="F4161" s="7"/>
      <c r="G4161" s="7"/>
      <c r="H4161" s="7"/>
      <c r="I4161" s="7"/>
      <c r="J4161" s="7"/>
      <c r="K4161" s="7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</row>
    <row r="4162">
      <c r="A4162" s="7"/>
      <c r="B4162" s="7"/>
      <c r="C4162" s="7"/>
      <c r="D4162" s="7"/>
      <c r="E4162" s="7"/>
      <c r="F4162" s="7"/>
      <c r="G4162" s="7"/>
      <c r="H4162" s="7"/>
      <c r="I4162" s="7"/>
      <c r="J4162" s="7"/>
      <c r="K4162" s="7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</row>
    <row r="4163">
      <c r="A4163" s="7"/>
      <c r="B4163" s="7"/>
      <c r="C4163" s="7"/>
      <c r="D4163" s="7"/>
      <c r="E4163" s="7"/>
      <c r="F4163" s="7"/>
      <c r="G4163" s="7"/>
      <c r="H4163" s="7"/>
      <c r="I4163" s="7"/>
      <c r="J4163" s="7"/>
      <c r="K4163" s="7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</row>
    <row r="4164">
      <c r="A4164" s="7"/>
      <c r="B4164" s="7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</row>
    <row r="4165">
      <c r="A4165" s="7"/>
      <c r="B4165" s="7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</row>
    <row r="4166">
      <c r="A4166" s="7"/>
      <c r="B4166" s="7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</row>
    <row r="4167">
      <c r="A4167" s="7"/>
      <c r="B4167" s="7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</row>
    <row r="4168">
      <c r="A4168" s="7"/>
      <c r="B4168" s="7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</row>
    <row r="4169">
      <c r="A4169" s="7"/>
      <c r="B4169" s="7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</row>
    <row r="4170">
      <c r="A4170" s="7"/>
      <c r="B4170" s="7"/>
      <c r="C4170" s="7"/>
      <c r="D4170" s="7"/>
      <c r="E4170" s="7"/>
      <c r="F4170" s="7"/>
      <c r="G4170" s="7"/>
      <c r="H4170" s="7"/>
      <c r="I4170" s="7"/>
      <c r="J4170" s="7"/>
      <c r="K4170" s="7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</row>
    <row r="4171">
      <c r="A4171" s="7"/>
      <c r="B4171" s="7"/>
      <c r="C4171" s="7"/>
      <c r="D4171" s="7"/>
      <c r="E4171" s="7"/>
      <c r="F4171" s="7"/>
      <c r="G4171" s="7"/>
      <c r="H4171" s="7"/>
      <c r="I4171" s="7"/>
      <c r="J4171" s="7"/>
      <c r="K4171" s="7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</row>
    <row r="4172">
      <c r="A4172" s="7"/>
      <c r="B4172" s="7"/>
      <c r="C4172" s="7"/>
      <c r="D4172" s="7"/>
      <c r="E4172" s="7"/>
      <c r="F4172" s="7"/>
      <c r="G4172" s="7"/>
      <c r="H4172" s="7"/>
      <c r="I4172" s="7"/>
      <c r="J4172" s="7"/>
      <c r="K4172" s="7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</row>
    <row r="4173">
      <c r="A4173" s="7"/>
      <c r="B4173" s="7"/>
      <c r="C4173" s="7"/>
      <c r="D4173" s="7"/>
      <c r="E4173" s="7"/>
      <c r="F4173" s="7"/>
      <c r="G4173" s="7"/>
      <c r="H4173" s="7"/>
      <c r="I4173" s="7"/>
      <c r="J4173" s="7"/>
      <c r="K4173" s="7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</row>
    <row r="4174">
      <c r="A4174" s="7"/>
      <c r="B4174" s="7"/>
      <c r="C4174" s="7"/>
      <c r="D4174" s="7"/>
      <c r="E4174" s="7"/>
      <c r="F4174" s="7"/>
      <c r="G4174" s="7"/>
      <c r="H4174" s="7"/>
      <c r="I4174" s="7"/>
      <c r="J4174" s="7"/>
      <c r="K4174" s="7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</row>
    <row r="4175">
      <c r="A4175" s="7"/>
      <c r="B4175" s="7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</row>
    <row r="4176">
      <c r="A4176" s="7"/>
      <c r="B4176" s="7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</row>
    <row r="4177">
      <c r="A4177" s="7"/>
      <c r="B4177" s="7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</row>
    <row r="4178">
      <c r="A4178" s="7"/>
      <c r="B4178" s="7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</row>
    <row r="4179">
      <c r="A4179" s="7"/>
      <c r="B4179" s="7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</row>
    <row r="4180">
      <c r="A4180" s="7"/>
      <c r="B4180" s="7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</row>
    <row r="4181">
      <c r="A4181" s="7"/>
      <c r="B4181" s="7"/>
      <c r="C4181" s="7"/>
      <c r="D4181" s="7"/>
      <c r="E4181" s="7"/>
      <c r="F4181" s="7"/>
      <c r="G4181" s="7"/>
      <c r="H4181" s="7"/>
      <c r="I4181" s="7"/>
      <c r="J4181" s="7"/>
      <c r="K4181" s="7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</row>
    <row r="4182">
      <c r="A4182" s="7"/>
      <c r="B4182" s="7"/>
      <c r="C4182" s="7"/>
      <c r="D4182" s="7"/>
      <c r="E4182" s="7"/>
      <c r="F4182" s="7"/>
      <c r="G4182" s="7"/>
      <c r="H4182" s="7"/>
      <c r="I4182" s="7"/>
      <c r="J4182" s="7"/>
      <c r="K4182" s="7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</row>
    <row r="4183">
      <c r="A4183" s="7"/>
      <c r="B4183" s="7"/>
      <c r="C4183" s="7"/>
      <c r="D4183" s="7"/>
      <c r="E4183" s="7"/>
      <c r="F4183" s="7"/>
      <c r="G4183" s="7"/>
      <c r="H4183" s="7"/>
      <c r="I4183" s="7"/>
      <c r="J4183" s="7"/>
      <c r="K4183" s="7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</row>
    <row r="4184">
      <c r="A4184" s="7"/>
      <c r="B4184" s="7"/>
      <c r="C4184" s="7"/>
      <c r="D4184" s="7"/>
      <c r="E4184" s="7"/>
      <c r="F4184" s="7"/>
      <c r="G4184" s="7"/>
      <c r="H4184" s="7"/>
      <c r="I4184" s="7"/>
      <c r="J4184" s="7"/>
      <c r="K4184" s="7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</row>
    <row r="4185">
      <c r="A4185" s="7"/>
      <c r="B4185" s="7"/>
      <c r="C4185" s="7"/>
      <c r="D4185" s="7"/>
      <c r="E4185" s="7"/>
      <c r="F4185" s="7"/>
      <c r="G4185" s="7"/>
      <c r="H4185" s="7"/>
      <c r="I4185" s="7"/>
      <c r="J4185" s="7"/>
      <c r="K4185" s="7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</row>
    <row r="4186">
      <c r="A4186" s="7"/>
      <c r="B4186" s="7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</row>
    <row r="4187">
      <c r="A4187" s="7"/>
      <c r="B4187" s="7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</row>
    <row r="4188">
      <c r="A4188" s="7"/>
      <c r="B4188" s="7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</row>
    <row r="4189">
      <c r="A4189" s="7"/>
      <c r="B4189" s="7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</row>
    <row r="4190">
      <c r="A4190" s="7"/>
      <c r="B4190" s="7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</row>
    <row r="4191">
      <c r="A4191" s="7"/>
      <c r="B4191" s="7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</row>
    <row r="4192">
      <c r="A4192" s="7"/>
      <c r="B4192" s="7"/>
      <c r="C4192" s="7"/>
      <c r="D4192" s="7"/>
      <c r="E4192" s="7"/>
      <c r="F4192" s="7"/>
      <c r="G4192" s="7"/>
      <c r="H4192" s="7"/>
      <c r="I4192" s="7"/>
      <c r="J4192" s="7"/>
      <c r="K4192" s="7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</row>
    <row r="4193">
      <c r="A4193" s="7"/>
      <c r="B4193" s="7"/>
      <c r="C4193" s="7"/>
      <c r="D4193" s="7"/>
      <c r="E4193" s="7"/>
      <c r="F4193" s="7"/>
      <c r="G4193" s="7"/>
      <c r="H4193" s="7"/>
      <c r="I4193" s="7"/>
      <c r="J4193" s="7"/>
      <c r="K4193" s="7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</row>
    <row r="4194">
      <c r="A4194" s="7"/>
      <c r="B4194" s="7"/>
      <c r="C4194" s="7"/>
      <c r="D4194" s="7"/>
      <c r="E4194" s="7"/>
      <c r="F4194" s="7"/>
      <c r="G4194" s="7"/>
      <c r="H4194" s="7"/>
      <c r="I4194" s="7"/>
      <c r="J4194" s="7"/>
      <c r="K4194" s="7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</row>
    <row r="4195">
      <c r="A4195" s="7"/>
      <c r="B4195" s="7"/>
      <c r="C4195" s="7"/>
      <c r="D4195" s="7"/>
      <c r="E4195" s="7"/>
      <c r="F4195" s="7"/>
      <c r="G4195" s="7"/>
      <c r="H4195" s="7"/>
      <c r="I4195" s="7"/>
      <c r="J4195" s="7"/>
      <c r="K4195" s="7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</row>
    <row r="4196">
      <c r="A4196" s="7"/>
      <c r="B4196" s="7"/>
      <c r="C4196" s="7"/>
      <c r="D4196" s="7"/>
      <c r="E4196" s="7"/>
      <c r="F4196" s="7"/>
      <c r="G4196" s="7"/>
      <c r="H4196" s="7"/>
      <c r="I4196" s="7"/>
      <c r="J4196" s="7"/>
      <c r="K4196" s="7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</row>
    <row r="4197">
      <c r="A4197" s="7"/>
      <c r="B4197" s="7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</row>
    <row r="4198">
      <c r="A4198" s="7"/>
      <c r="B4198" s="7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</row>
    <row r="4199">
      <c r="A4199" s="7"/>
      <c r="B4199" s="7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</row>
    <row r="4200">
      <c r="A4200" s="7"/>
      <c r="B4200" s="7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</row>
    <row r="4201">
      <c r="A4201" s="7"/>
      <c r="B4201" s="7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</row>
    <row r="4202">
      <c r="A4202" s="7"/>
      <c r="B4202" s="7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</row>
    <row r="4203">
      <c r="A4203" s="7"/>
      <c r="B4203" s="7"/>
      <c r="C4203" s="7"/>
      <c r="D4203" s="7"/>
      <c r="E4203" s="7"/>
      <c r="F4203" s="7"/>
      <c r="G4203" s="7"/>
      <c r="H4203" s="7"/>
      <c r="I4203" s="7"/>
      <c r="J4203" s="7"/>
      <c r="K4203" s="7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</row>
    <row r="4204">
      <c r="A4204" s="7"/>
      <c r="B4204" s="7"/>
      <c r="C4204" s="7"/>
      <c r="D4204" s="7"/>
      <c r="E4204" s="7"/>
      <c r="F4204" s="7"/>
      <c r="G4204" s="7"/>
      <c r="H4204" s="7"/>
      <c r="I4204" s="7"/>
      <c r="J4204" s="7"/>
      <c r="K4204" s="7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</row>
    <row r="4205">
      <c r="A4205" s="7"/>
      <c r="B4205" s="7"/>
      <c r="C4205" s="7"/>
      <c r="D4205" s="7"/>
      <c r="E4205" s="7"/>
      <c r="F4205" s="7"/>
      <c r="G4205" s="7"/>
      <c r="H4205" s="7"/>
      <c r="I4205" s="7"/>
      <c r="J4205" s="7"/>
      <c r="K4205" s="7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</row>
    <row r="4206">
      <c r="A4206" s="7"/>
      <c r="B4206" s="7"/>
      <c r="C4206" s="7"/>
      <c r="D4206" s="7"/>
      <c r="E4206" s="7"/>
      <c r="F4206" s="7"/>
      <c r="G4206" s="7"/>
      <c r="H4206" s="7"/>
      <c r="I4206" s="7"/>
      <c r="J4206" s="7"/>
      <c r="K4206" s="7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</row>
    <row r="4207">
      <c r="A4207" s="7"/>
      <c r="B4207" s="7"/>
      <c r="C4207" s="7"/>
      <c r="D4207" s="7"/>
      <c r="E4207" s="7"/>
      <c r="F4207" s="7"/>
      <c r="G4207" s="7"/>
      <c r="H4207" s="7"/>
      <c r="I4207" s="7"/>
      <c r="J4207" s="7"/>
      <c r="K4207" s="7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</row>
    <row r="4208">
      <c r="A4208" s="7"/>
      <c r="B4208" s="7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</row>
    <row r="4209">
      <c r="A4209" s="7"/>
      <c r="B4209" s="7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</row>
    <row r="4210">
      <c r="A4210" s="7"/>
      <c r="B4210" s="7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</row>
    <row r="4211">
      <c r="A4211" s="7"/>
      <c r="B4211" s="7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</row>
    <row r="4212">
      <c r="A4212" s="7"/>
      <c r="B4212" s="7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</row>
    <row r="4213">
      <c r="A4213" s="7"/>
      <c r="B4213" s="7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</row>
    <row r="4214">
      <c r="A4214" s="7"/>
      <c r="B4214" s="7"/>
      <c r="C4214" s="7"/>
      <c r="D4214" s="7"/>
      <c r="E4214" s="7"/>
      <c r="F4214" s="7"/>
      <c r="G4214" s="7"/>
      <c r="H4214" s="7"/>
      <c r="I4214" s="7"/>
      <c r="J4214" s="7"/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</row>
    <row r="4215">
      <c r="A4215" s="7"/>
      <c r="B4215" s="7"/>
      <c r="C4215" s="7"/>
      <c r="D4215" s="7"/>
      <c r="E4215" s="7"/>
      <c r="F4215" s="7"/>
      <c r="G4215" s="7"/>
      <c r="H4215" s="7"/>
      <c r="I4215" s="7"/>
      <c r="J4215" s="7"/>
      <c r="K4215" s="7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</row>
    <row r="4216">
      <c r="A4216" s="7"/>
      <c r="B4216" s="7"/>
      <c r="C4216" s="7"/>
      <c r="D4216" s="7"/>
      <c r="E4216" s="7"/>
      <c r="F4216" s="7"/>
      <c r="G4216" s="7"/>
      <c r="H4216" s="7"/>
      <c r="I4216" s="7"/>
      <c r="J4216" s="7"/>
      <c r="K4216" s="7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</row>
    <row r="4217">
      <c r="A4217" s="7"/>
      <c r="B4217" s="7"/>
      <c r="C4217" s="7"/>
      <c r="D4217" s="7"/>
      <c r="E4217" s="7"/>
      <c r="F4217" s="7"/>
      <c r="G4217" s="7"/>
      <c r="H4217" s="7"/>
      <c r="I4217" s="7"/>
      <c r="J4217" s="7"/>
      <c r="K4217" s="7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</row>
    <row r="4218">
      <c r="A4218" s="7"/>
      <c r="B4218" s="7"/>
      <c r="C4218" s="7"/>
      <c r="D4218" s="7"/>
      <c r="E4218" s="7"/>
      <c r="F4218" s="7"/>
      <c r="G4218" s="7"/>
      <c r="H4218" s="7"/>
      <c r="I4218" s="7"/>
      <c r="J4218" s="7"/>
      <c r="K4218" s="7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</row>
    <row r="4219">
      <c r="A4219" s="7"/>
      <c r="B4219" s="7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</row>
    <row r="4220">
      <c r="A4220" s="7"/>
      <c r="B4220" s="7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</row>
    <row r="4221">
      <c r="A4221" s="7"/>
      <c r="B4221" s="7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</row>
    <row r="4222">
      <c r="A4222" s="7"/>
      <c r="B4222" s="7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</row>
    <row r="4223">
      <c r="A4223" s="7"/>
      <c r="B4223" s="7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</row>
    <row r="4224">
      <c r="A4224" s="7"/>
      <c r="B4224" s="7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</row>
    <row r="4225">
      <c r="A4225" s="7"/>
      <c r="B4225" s="7"/>
      <c r="C4225" s="7"/>
      <c r="D4225" s="7"/>
      <c r="E4225" s="7"/>
      <c r="F4225" s="7"/>
      <c r="G4225" s="7"/>
      <c r="H4225" s="7"/>
      <c r="I4225" s="7"/>
      <c r="J4225" s="7"/>
      <c r="K4225" s="7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</row>
    <row r="4226">
      <c r="A4226" s="7"/>
      <c r="B4226" s="7"/>
      <c r="C4226" s="7"/>
      <c r="D4226" s="7"/>
      <c r="E4226" s="7"/>
      <c r="F4226" s="7"/>
      <c r="G4226" s="7"/>
      <c r="H4226" s="7"/>
      <c r="I4226" s="7"/>
      <c r="J4226" s="7"/>
      <c r="K4226" s="7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</row>
    <row r="4227">
      <c r="A4227" s="7"/>
      <c r="B4227" s="7"/>
      <c r="C4227" s="7"/>
      <c r="D4227" s="7"/>
      <c r="E4227" s="7"/>
      <c r="F4227" s="7"/>
      <c r="G4227" s="7"/>
      <c r="H4227" s="7"/>
      <c r="I4227" s="7"/>
      <c r="J4227" s="7"/>
      <c r="K4227" s="7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</row>
    <row r="4228">
      <c r="A4228" s="7"/>
      <c r="B4228" s="7"/>
      <c r="C4228" s="7"/>
      <c r="D4228" s="7"/>
      <c r="E4228" s="7"/>
      <c r="F4228" s="7"/>
      <c r="G4228" s="7"/>
      <c r="H4228" s="7"/>
      <c r="I4228" s="7"/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</row>
    <row r="4229">
      <c r="A4229" s="7"/>
      <c r="B4229" s="7"/>
      <c r="C4229" s="7"/>
      <c r="D4229" s="7"/>
      <c r="E4229" s="7"/>
      <c r="F4229" s="7"/>
      <c r="G4229" s="7"/>
      <c r="H4229" s="7"/>
      <c r="I4229" s="7"/>
      <c r="J4229" s="7"/>
      <c r="K4229" s="7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</row>
    <row r="4230">
      <c r="A4230" s="7"/>
      <c r="B4230" s="7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</row>
    <row r="4231">
      <c r="A4231" s="7"/>
      <c r="B4231" s="7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</row>
    <row r="4232">
      <c r="A4232" s="7"/>
      <c r="B4232" s="7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</row>
    <row r="4233">
      <c r="A4233" s="7"/>
      <c r="B4233" s="7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</row>
    <row r="4234">
      <c r="A4234" s="7"/>
      <c r="B4234" s="7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</row>
    <row r="4235">
      <c r="A4235" s="7"/>
      <c r="B4235" s="7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</row>
    <row r="4236">
      <c r="A4236" s="7"/>
      <c r="B4236" s="7"/>
      <c r="C4236" s="7"/>
      <c r="D4236" s="7"/>
      <c r="E4236" s="7"/>
      <c r="F4236" s="7"/>
      <c r="G4236" s="7"/>
      <c r="H4236" s="7"/>
      <c r="I4236" s="7"/>
      <c r="J4236" s="7"/>
      <c r="K4236" s="7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</row>
    <row r="4237">
      <c r="A4237" s="7"/>
      <c r="B4237" s="7"/>
      <c r="C4237" s="7"/>
      <c r="D4237" s="7"/>
      <c r="E4237" s="7"/>
      <c r="F4237" s="7"/>
      <c r="G4237" s="7"/>
      <c r="H4237" s="7"/>
      <c r="I4237" s="7"/>
      <c r="J4237" s="7"/>
      <c r="K4237" s="7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</row>
    <row r="4238">
      <c r="A4238" s="7"/>
      <c r="B4238" s="7"/>
      <c r="C4238" s="7"/>
      <c r="D4238" s="7"/>
      <c r="E4238" s="7"/>
      <c r="F4238" s="7"/>
      <c r="G4238" s="7"/>
      <c r="H4238" s="7"/>
      <c r="I4238" s="7"/>
      <c r="J4238" s="7"/>
      <c r="K4238" s="7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</row>
    <row r="4239">
      <c r="A4239" s="7"/>
      <c r="B4239" s="7"/>
      <c r="C4239" s="7"/>
      <c r="D4239" s="7"/>
      <c r="E4239" s="7"/>
      <c r="F4239" s="7"/>
      <c r="G4239" s="7"/>
      <c r="H4239" s="7"/>
      <c r="I4239" s="7"/>
      <c r="J4239" s="7"/>
      <c r="K4239" s="7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</row>
    <row r="4240">
      <c r="A4240" s="7"/>
      <c r="B4240" s="7"/>
      <c r="C4240" s="7"/>
      <c r="D4240" s="7"/>
      <c r="E4240" s="7"/>
      <c r="F4240" s="7"/>
      <c r="G4240" s="7"/>
      <c r="H4240" s="7"/>
      <c r="I4240" s="7"/>
      <c r="J4240" s="7"/>
      <c r="K4240" s="7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</row>
    <row r="4241">
      <c r="A4241" s="7"/>
      <c r="B4241" s="7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</row>
    <row r="4242">
      <c r="A4242" s="7"/>
      <c r="B4242" s="7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</row>
    <row r="4243">
      <c r="A4243" s="7"/>
      <c r="B4243" s="7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</row>
    <row r="4244">
      <c r="A4244" s="7"/>
      <c r="B4244" s="7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</row>
    <row r="4245">
      <c r="A4245" s="7"/>
      <c r="B4245" s="7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</row>
    <row r="4246">
      <c r="A4246" s="7"/>
      <c r="B4246" s="7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</row>
    <row r="4247">
      <c r="A4247" s="7"/>
      <c r="B4247" s="7"/>
      <c r="C4247" s="7"/>
      <c r="D4247" s="7"/>
      <c r="E4247" s="7"/>
      <c r="F4247" s="7"/>
      <c r="G4247" s="7"/>
      <c r="H4247" s="7"/>
      <c r="I4247" s="7"/>
      <c r="J4247" s="7"/>
      <c r="K4247" s="7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</row>
    <row r="4248">
      <c r="A4248" s="7"/>
      <c r="B4248" s="7"/>
      <c r="C4248" s="7"/>
      <c r="D4248" s="7"/>
      <c r="E4248" s="7"/>
      <c r="F4248" s="7"/>
      <c r="G4248" s="7"/>
      <c r="H4248" s="7"/>
      <c r="I4248" s="7"/>
      <c r="J4248" s="7"/>
      <c r="K4248" s="7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</row>
    <row r="4249">
      <c r="A4249" s="7"/>
      <c r="B4249" s="7"/>
      <c r="C4249" s="7"/>
      <c r="D4249" s="7"/>
      <c r="E4249" s="7"/>
      <c r="F4249" s="7"/>
      <c r="G4249" s="7"/>
      <c r="H4249" s="7"/>
      <c r="I4249" s="7"/>
      <c r="J4249" s="7"/>
      <c r="K4249" s="7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</row>
    <row r="4250">
      <c r="A4250" s="7"/>
      <c r="B4250" s="7"/>
      <c r="C4250" s="7"/>
      <c r="D4250" s="7"/>
      <c r="E4250" s="7"/>
      <c r="F4250" s="7"/>
      <c r="G4250" s="7"/>
      <c r="H4250" s="7"/>
      <c r="I4250" s="7"/>
      <c r="J4250" s="7"/>
      <c r="K4250" s="7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</row>
    <row r="4251">
      <c r="A4251" s="7"/>
      <c r="B4251" s="7"/>
      <c r="C4251" s="7"/>
      <c r="D4251" s="7"/>
      <c r="E4251" s="7"/>
      <c r="F4251" s="7"/>
      <c r="G4251" s="7"/>
      <c r="H4251" s="7"/>
      <c r="I4251" s="7"/>
      <c r="J4251" s="7"/>
      <c r="K4251" s="7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</row>
    <row r="4252">
      <c r="A4252" s="7"/>
      <c r="B4252" s="7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</row>
    <row r="4253">
      <c r="A4253" s="7"/>
      <c r="B4253" s="7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</row>
    <row r="4254">
      <c r="A4254" s="7"/>
      <c r="B4254" s="7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</row>
    <row r="4255">
      <c r="A4255" s="7"/>
      <c r="B4255" s="7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</row>
    <row r="4256">
      <c r="A4256" s="7"/>
      <c r="B4256" s="7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</row>
    <row r="4257">
      <c r="A4257" s="7"/>
      <c r="B4257" s="7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</row>
    <row r="4258">
      <c r="A4258" s="7"/>
      <c r="B4258" s="7"/>
      <c r="C4258" s="7"/>
      <c r="D4258" s="7"/>
      <c r="E4258" s="7"/>
      <c r="F4258" s="7"/>
      <c r="G4258" s="7"/>
      <c r="H4258" s="7"/>
      <c r="I4258" s="7"/>
      <c r="J4258" s="7"/>
      <c r="K4258" s="7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</row>
    <row r="4259">
      <c r="A4259" s="7"/>
      <c r="B4259" s="7"/>
      <c r="C4259" s="7"/>
      <c r="D4259" s="7"/>
      <c r="E4259" s="7"/>
      <c r="F4259" s="7"/>
      <c r="G4259" s="7"/>
      <c r="H4259" s="7"/>
      <c r="I4259" s="7"/>
      <c r="J4259" s="7"/>
      <c r="K4259" s="7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</row>
    <row r="4260">
      <c r="A4260" s="7"/>
      <c r="B4260" s="7"/>
      <c r="C4260" s="7"/>
      <c r="D4260" s="7"/>
      <c r="E4260" s="7"/>
      <c r="F4260" s="7"/>
      <c r="G4260" s="7"/>
      <c r="H4260" s="7"/>
      <c r="I4260" s="7"/>
      <c r="J4260" s="7"/>
      <c r="K4260" s="7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</row>
    <row r="4261">
      <c r="A4261" s="7"/>
      <c r="B4261" s="7"/>
      <c r="C4261" s="7"/>
      <c r="D4261" s="7"/>
      <c r="E4261" s="7"/>
      <c r="F4261" s="7"/>
      <c r="G4261" s="7"/>
      <c r="H4261" s="7"/>
      <c r="I4261" s="7"/>
      <c r="J4261" s="7"/>
      <c r="K4261" s="7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</row>
    <row r="4262">
      <c r="A4262" s="7"/>
      <c r="B4262" s="7"/>
      <c r="C4262" s="7"/>
      <c r="D4262" s="7"/>
      <c r="E4262" s="7"/>
      <c r="F4262" s="7"/>
      <c r="G4262" s="7"/>
      <c r="H4262" s="7"/>
      <c r="I4262" s="7"/>
      <c r="J4262" s="7"/>
      <c r="K4262" s="7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</row>
    <row r="4263">
      <c r="A4263" s="7"/>
      <c r="B4263" s="7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</row>
    <row r="4264">
      <c r="A4264" s="7"/>
      <c r="B4264" s="7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</row>
    <row r="4265">
      <c r="A4265" s="7"/>
      <c r="B4265" s="7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</row>
    <row r="4266">
      <c r="A4266" s="7"/>
      <c r="B4266" s="7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</row>
    <row r="4267">
      <c r="A4267" s="7"/>
      <c r="B4267" s="7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</row>
    <row r="4268">
      <c r="A4268" s="7"/>
      <c r="B4268" s="7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</row>
    <row r="4269">
      <c r="A4269" s="7"/>
      <c r="B4269" s="7"/>
      <c r="C4269" s="7"/>
      <c r="D4269" s="7"/>
      <c r="E4269" s="7"/>
      <c r="F4269" s="7"/>
      <c r="G4269" s="7"/>
      <c r="H4269" s="7"/>
      <c r="I4269" s="7"/>
      <c r="J4269" s="7"/>
      <c r="K4269" s="7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</row>
    <row r="4270">
      <c r="A4270" s="7"/>
      <c r="B4270" s="7"/>
      <c r="C4270" s="7"/>
      <c r="D4270" s="7"/>
      <c r="E4270" s="7"/>
      <c r="F4270" s="7"/>
      <c r="G4270" s="7"/>
      <c r="H4270" s="7"/>
      <c r="I4270" s="7"/>
      <c r="J4270" s="7"/>
      <c r="K4270" s="7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</row>
    <row r="4271">
      <c r="A4271" s="7"/>
      <c r="B4271" s="7"/>
      <c r="C4271" s="7"/>
      <c r="D4271" s="7"/>
      <c r="E4271" s="7"/>
      <c r="F4271" s="7"/>
      <c r="G4271" s="7"/>
      <c r="H4271" s="7"/>
      <c r="I4271" s="7"/>
      <c r="J4271" s="7"/>
      <c r="K4271" s="7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</row>
    <row r="4272">
      <c r="A4272" s="7"/>
      <c r="B4272" s="7"/>
      <c r="C4272" s="7"/>
      <c r="D4272" s="7"/>
      <c r="E4272" s="7"/>
      <c r="F4272" s="7"/>
      <c r="G4272" s="7"/>
      <c r="H4272" s="7"/>
      <c r="I4272" s="7"/>
      <c r="J4272" s="7"/>
      <c r="K4272" s="7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</row>
    <row r="4273">
      <c r="A4273" s="7"/>
      <c r="B4273" s="7"/>
      <c r="C4273" s="7"/>
      <c r="D4273" s="7"/>
      <c r="E4273" s="7"/>
      <c r="F4273" s="7"/>
      <c r="G4273" s="7"/>
      <c r="H4273" s="7"/>
      <c r="I4273" s="7"/>
      <c r="J4273" s="7"/>
      <c r="K4273" s="7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</row>
    <row r="4274">
      <c r="A4274" s="7"/>
      <c r="B4274" s="7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</row>
    <row r="4275">
      <c r="A4275" s="7"/>
      <c r="B4275" s="7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</row>
    <row r="4276">
      <c r="A4276" s="7"/>
      <c r="B4276" s="7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</row>
    <row r="4277">
      <c r="A4277" s="7"/>
      <c r="B4277" s="7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</row>
    <row r="4278">
      <c r="A4278" s="7"/>
      <c r="B4278" s="7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</row>
    <row r="4279">
      <c r="A4279" s="7"/>
      <c r="B4279" s="7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</row>
    <row r="4280">
      <c r="A4280" s="7"/>
      <c r="B4280" s="7"/>
      <c r="C4280" s="7"/>
      <c r="D4280" s="7"/>
      <c r="E4280" s="7"/>
      <c r="F4280" s="7"/>
      <c r="G4280" s="7"/>
      <c r="H4280" s="7"/>
      <c r="I4280" s="7"/>
      <c r="J4280" s="7"/>
      <c r="K4280" s="7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</row>
    <row r="4281">
      <c r="A4281" s="7"/>
      <c r="B4281" s="7"/>
      <c r="C4281" s="7"/>
      <c r="D4281" s="7"/>
      <c r="E4281" s="7"/>
      <c r="F4281" s="7"/>
      <c r="G4281" s="7"/>
      <c r="H4281" s="7"/>
      <c r="I4281" s="7"/>
      <c r="J4281" s="7"/>
      <c r="K4281" s="7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</row>
    <row r="4282">
      <c r="A4282" s="7"/>
      <c r="B4282" s="7"/>
      <c r="C4282" s="7"/>
      <c r="D4282" s="7"/>
      <c r="E4282" s="7"/>
      <c r="F4282" s="7"/>
      <c r="G4282" s="7"/>
      <c r="H4282" s="7"/>
      <c r="I4282" s="7"/>
      <c r="J4282" s="7"/>
      <c r="K4282" s="7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</row>
    <row r="4283">
      <c r="A4283" s="7"/>
      <c r="B4283" s="7"/>
      <c r="C4283" s="7"/>
      <c r="D4283" s="7"/>
      <c r="E4283" s="7"/>
      <c r="F4283" s="7"/>
      <c r="G4283" s="7"/>
      <c r="H4283" s="7"/>
      <c r="I4283" s="7"/>
      <c r="J4283" s="7"/>
      <c r="K4283" s="7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</row>
    <row r="4284">
      <c r="A4284" s="7"/>
      <c r="B4284" s="7"/>
      <c r="C4284" s="7"/>
      <c r="D4284" s="7"/>
      <c r="E4284" s="7"/>
      <c r="F4284" s="7"/>
      <c r="G4284" s="7"/>
      <c r="H4284" s="7"/>
      <c r="I4284" s="7"/>
      <c r="J4284" s="7"/>
      <c r="K4284" s="7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</row>
    <row r="4285">
      <c r="A4285" s="7"/>
      <c r="B4285" s="7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</row>
    <row r="4286">
      <c r="A4286" s="7"/>
      <c r="B4286" s="7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</row>
    <row r="4287">
      <c r="A4287" s="7"/>
      <c r="B4287" s="7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</row>
    <row r="4288">
      <c r="A4288" s="7"/>
      <c r="B4288" s="7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</row>
    <row r="4289">
      <c r="A4289" s="7"/>
      <c r="B4289" s="7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</row>
    <row r="4290">
      <c r="A4290" s="7"/>
      <c r="B4290" s="7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</row>
    <row r="4291">
      <c r="A4291" s="7"/>
      <c r="B4291" s="7"/>
      <c r="C4291" s="7"/>
      <c r="D4291" s="7"/>
      <c r="E4291" s="7"/>
      <c r="F4291" s="7"/>
      <c r="G4291" s="7"/>
      <c r="H4291" s="7"/>
      <c r="I4291" s="7"/>
      <c r="J4291" s="7"/>
      <c r="K4291" s="7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</row>
    <row r="4292">
      <c r="A4292" s="7"/>
      <c r="B4292" s="7"/>
      <c r="C4292" s="7"/>
      <c r="D4292" s="7"/>
      <c r="E4292" s="7"/>
      <c r="F4292" s="7"/>
      <c r="G4292" s="7"/>
      <c r="H4292" s="7"/>
      <c r="I4292" s="7"/>
      <c r="J4292" s="7"/>
      <c r="K4292" s="7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</row>
    <row r="4293">
      <c r="A4293" s="7"/>
      <c r="B4293" s="7"/>
      <c r="C4293" s="7"/>
      <c r="D4293" s="7"/>
      <c r="E4293" s="7"/>
      <c r="F4293" s="7"/>
      <c r="G4293" s="7"/>
      <c r="H4293" s="7"/>
      <c r="I4293" s="7"/>
      <c r="J4293" s="7"/>
      <c r="K4293" s="7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</row>
    <row r="4294">
      <c r="A4294" s="7"/>
      <c r="B4294" s="7"/>
      <c r="C4294" s="7"/>
      <c r="D4294" s="7"/>
      <c r="E4294" s="7"/>
      <c r="F4294" s="7"/>
      <c r="G4294" s="7"/>
      <c r="H4294" s="7"/>
      <c r="I4294" s="7"/>
      <c r="J4294" s="7"/>
      <c r="K4294" s="7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</row>
    <row r="4295">
      <c r="A4295" s="7"/>
      <c r="B4295" s="7"/>
      <c r="C4295" s="7"/>
      <c r="D4295" s="7"/>
      <c r="E4295" s="7"/>
      <c r="F4295" s="7"/>
      <c r="G4295" s="7"/>
      <c r="H4295" s="7"/>
      <c r="I4295" s="7"/>
      <c r="J4295" s="7"/>
      <c r="K4295" s="7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</row>
    <row r="4296">
      <c r="A4296" s="7"/>
      <c r="B4296" s="7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</row>
    <row r="4297">
      <c r="A4297" s="7"/>
      <c r="B4297" s="7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</row>
    <row r="4298">
      <c r="A4298" s="7"/>
      <c r="B4298" s="7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</row>
    <row r="4299">
      <c r="A4299" s="7"/>
      <c r="B4299" s="7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</row>
    <row r="4300">
      <c r="A4300" s="7"/>
      <c r="B4300" s="7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</row>
    <row r="4301">
      <c r="A4301" s="7"/>
      <c r="B4301" s="7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</row>
    <row r="4302">
      <c r="A4302" s="7"/>
      <c r="B4302" s="7"/>
      <c r="C4302" s="7"/>
      <c r="D4302" s="7"/>
      <c r="E4302" s="7"/>
      <c r="F4302" s="7"/>
      <c r="G4302" s="7"/>
      <c r="H4302" s="7"/>
      <c r="I4302" s="7"/>
      <c r="J4302" s="7"/>
      <c r="K4302" s="7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</row>
    <row r="4303">
      <c r="A4303" s="7"/>
      <c r="B4303" s="7"/>
      <c r="C4303" s="7"/>
      <c r="D4303" s="7"/>
      <c r="E4303" s="7"/>
      <c r="F4303" s="7"/>
      <c r="G4303" s="7"/>
      <c r="H4303" s="7"/>
      <c r="I4303" s="7"/>
      <c r="J4303" s="7"/>
      <c r="K4303" s="7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</row>
    <row r="4304">
      <c r="A4304" s="7"/>
      <c r="B4304" s="7"/>
      <c r="C4304" s="7"/>
      <c r="D4304" s="7"/>
      <c r="E4304" s="7"/>
      <c r="F4304" s="7"/>
      <c r="G4304" s="7"/>
      <c r="H4304" s="7"/>
      <c r="I4304" s="7"/>
      <c r="J4304" s="7"/>
      <c r="K4304" s="7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</row>
    <row r="4305">
      <c r="A4305" s="7"/>
      <c r="B4305" s="7"/>
      <c r="C4305" s="7"/>
      <c r="D4305" s="7"/>
      <c r="E4305" s="7"/>
      <c r="F4305" s="7"/>
      <c r="G4305" s="7"/>
      <c r="H4305" s="7"/>
      <c r="I4305" s="7"/>
      <c r="J4305" s="7"/>
      <c r="K4305" s="7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</row>
    <row r="4306">
      <c r="A4306" s="7"/>
      <c r="B4306" s="7"/>
      <c r="C4306" s="7"/>
      <c r="D4306" s="7"/>
      <c r="E4306" s="7"/>
      <c r="F4306" s="7"/>
      <c r="G4306" s="7"/>
      <c r="H4306" s="7"/>
      <c r="I4306" s="7"/>
      <c r="J4306" s="7"/>
      <c r="K4306" s="7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</row>
    <row r="4307">
      <c r="A4307" s="7"/>
      <c r="B4307" s="7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</row>
    <row r="4308">
      <c r="A4308" s="7"/>
      <c r="B4308" s="7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</row>
    <row r="4309">
      <c r="A4309" s="7"/>
      <c r="B4309" s="7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</row>
    <row r="4310">
      <c r="A4310" s="7"/>
      <c r="B4310" s="7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</row>
    <row r="4311">
      <c r="A4311" s="7"/>
      <c r="B4311" s="7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</row>
    <row r="4312">
      <c r="A4312" s="7"/>
      <c r="B4312" s="7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</row>
    <row r="4313">
      <c r="A4313" s="7"/>
      <c r="B4313" s="7"/>
      <c r="C4313" s="7"/>
      <c r="D4313" s="7"/>
      <c r="E4313" s="7"/>
      <c r="F4313" s="7"/>
      <c r="G4313" s="7"/>
      <c r="H4313" s="7"/>
      <c r="I4313" s="7"/>
      <c r="J4313" s="7"/>
      <c r="K4313" s="7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</row>
    <row r="4314">
      <c r="A4314" s="7"/>
      <c r="B4314" s="7"/>
      <c r="C4314" s="7"/>
      <c r="D4314" s="7"/>
      <c r="E4314" s="7"/>
      <c r="F4314" s="7"/>
      <c r="G4314" s="7"/>
      <c r="H4314" s="7"/>
      <c r="I4314" s="7"/>
      <c r="J4314" s="7"/>
      <c r="K4314" s="7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</row>
    <row r="4315">
      <c r="A4315" s="7"/>
      <c r="B4315" s="7"/>
      <c r="C4315" s="7"/>
      <c r="D4315" s="7"/>
      <c r="E4315" s="7"/>
      <c r="F4315" s="7"/>
      <c r="G4315" s="7"/>
      <c r="H4315" s="7"/>
      <c r="I4315" s="7"/>
      <c r="J4315" s="7"/>
      <c r="K4315" s="7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</row>
    <row r="4316">
      <c r="A4316" s="7"/>
      <c r="B4316" s="7"/>
      <c r="C4316" s="7"/>
      <c r="D4316" s="7"/>
      <c r="E4316" s="7"/>
      <c r="F4316" s="7"/>
      <c r="G4316" s="7"/>
      <c r="H4316" s="7"/>
      <c r="I4316" s="7"/>
      <c r="J4316" s="7"/>
      <c r="K4316" s="7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</row>
    <row r="4317">
      <c r="A4317" s="7"/>
      <c r="B4317" s="7"/>
      <c r="C4317" s="7"/>
      <c r="D4317" s="7"/>
      <c r="E4317" s="7"/>
      <c r="F4317" s="7"/>
      <c r="G4317" s="7"/>
      <c r="H4317" s="7"/>
      <c r="I4317" s="7"/>
      <c r="J4317" s="7"/>
      <c r="K4317" s="7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</row>
    <row r="4318">
      <c r="A4318" s="7"/>
      <c r="B4318" s="7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</row>
    <row r="4319">
      <c r="A4319" s="7"/>
      <c r="B4319" s="7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</row>
    <row r="4320">
      <c r="A4320" s="7"/>
      <c r="B4320" s="7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</row>
    <row r="4321">
      <c r="A4321" s="7"/>
      <c r="B4321" s="7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</row>
    <row r="4322">
      <c r="A4322" s="7"/>
      <c r="B4322" s="7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</row>
    <row r="4323">
      <c r="A4323" s="7"/>
      <c r="B4323" s="7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</row>
    <row r="4324">
      <c r="A4324" s="7"/>
      <c r="B4324" s="7"/>
      <c r="C4324" s="7"/>
      <c r="D4324" s="7"/>
      <c r="E4324" s="7"/>
      <c r="F4324" s="7"/>
      <c r="G4324" s="7"/>
      <c r="H4324" s="7"/>
      <c r="I4324" s="7"/>
      <c r="J4324" s="7"/>
      <c r="K4324" s="7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</row>
    <row r="4325">
      <c r="A4325" s="7"/>
      <c r="B4325" s="7"/>
      <c r="C4325" s="7"/>
      <c r="D4325" s="7"/>
      <c r="E4325" s="7"/>
      <c r="F4325" s="7"/>
      <c r="G4325" s="7"/>
      <c r="H4325" s="7"/>
      <c r="I4325" s="7"/>
      <c r="J4325" s="7"/>
      <c r="K4325" s="7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</row>
    <row r="4326">
      <c r="A4326" s="7"/>
      <c r="B4326" s="7"/>
      <c r="C4326" s="7"/>
      <c r="D4326" s="7"/>
      <c r="E4326" s="7"/>
      <c r="F4326" s="7"/>
      <c r="G4326" s="7"/>
      <c r="H4326" s="7"/>
      <c r="I4326" s="7"/>
      <c r="J4326" s="7"/>
      <c r="K4326" s="7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</row>
    <row r="4327">
      <c r="A4327" s="7"/>
      <c r="B4327" s="7"/>
      <c r="C4327" s="7"/>
      <c r="D4327" s="7"/>
      <c r="E4327" s="7"/>
      <c r="F4327" s="7"/>
      <c r="G4327" s="7"/>
      <c r="H4327" s="7"/>
      <c r="I4327" s="7"/>
      <c r="J4327" s="7"/>
      <c r="K4327" s="7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</row>
    <row r="4328">
      <c r="A4328" s="7"/>
      <c r="B4328" s="7"/>
      <c r="C4328" s="7"/>
      <c r="D4328" s="7"/>
      <c r="E4328" s="7"/>
      <c r="F4328" s="7"/>
      <c r="G4328" s="7"/>
      <c r="H4328" s="7"/>
      <c r="I4328" s="7"/>
      <c r="J4328" s="7"/>
      <c r="K4328" s="7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</row>
    <row r="4329">
      <c r="A4329" s="7"/>
      <c r="B4329" s="7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</row>
    <row r="4330">
      <c r="A4330" s="7"/>
      <c r="B4330" s="7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</row>
    <row r="4331">
      <c r="A4331" s="7"/>
      <c r="B4331" s="7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</row>
    <row r="4332">
      <c r="A4332" s="7"/>
      <c r="B4332" s="7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</row>
    <row r="4333">
      <c r="A4333" s="7"/>
      <c r="B4333" s="7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</row>
    <row r="4334">
      <c r="A4334" s="7"/>
      <c r="B4334" s="7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</row>
    <row r="4335">
      <c r="A4335" s="7"/>
      <c r="B4335" s="7"/>
      <c r="C4335" s="7"/>
      <c r="D4335" s="7"/>
      <c r="E4335" s="7"/>
      <c r="F4335" s="7"/>
      <c r="G4335" s="7"/>
      <c r="H4335" s="7"/>
      <c r="I4335" s="7"/>
      <c r="J4335" s="7"/>
      <c r="K4335" s="7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</row>
    <row r="4336">
      <c r="A4336" s="7"/>
      <c r="B4336" s="7"/>
      <c r="C4336" s="7"/>
      <c r="D4336" s="7"/>
      <c r="E4336" s="7"/>
      <c r="F4336" s="7"/>
      <c r="G4336" s="7"/>
      <c r="H4336" s="7"/>
      <c r="I4336" s="7"/>
      <c r="J4336" s="7"/>
      <c r="K4336" s="7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</row>
    <row r="4337">
      <c r="A4337" s="7"/>
      <c r="B4337" s="7"/>
      <c r="C4337" s="7"/>
      <c r="D4337" s="7"/>
      <c r="E4337" s="7"/>
      <c r="F4337" s="7"/>
      <c r="G4337" s="7"/>
      <c r="H4337" s="7"/>
      <c r="I4337" s="7"/>
      <c r="J4337" s="7"/>
      <c r="K4337" s="7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</row>
    <row r="4338">
      <c r="A4338" s="7"/>
      <c r="B4338" s="7"/>
      <c r="C4338" s="7"/>
      <c r="D4338" s="7"/>
      <c r="E4338" s="7"/>
      <c r="F4338" s="7"/>
      <c r="G4338" s="7"/>
      <c r="H4338" s="7"/>
      <c r="I4338" s="7"/>
      <c r="J4338" s="7"/>
      <c r="K4338" s="7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</row>
    <row r="4339">
      <c r="A4339" s="7"/>
      <c r="B4339" s="7"/>
      <c r="C4339" s="7"/>
      <c r="D4339" s="7"/>
      <c r="E4339" s="7"/>
      <c r="F4339" s="7"/>
      <c r="G4339" s="7"/>
      <c r="H4339" s="7"/>
      <c r="I4339" s="7"/>
      <c r="J4339" s="7"/>
      <c r="K4339" s="7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</row>
    <row r="4340">
      <c r="A4340" s="7"/>
      <c r="B4340" s="7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</row>
    <row r="4341">
      <c r="A4341" s="7"/>
      <c r="B4341" s="7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</row>
    <row r="4342">
      <c r="A4342" s="7"/>
      <c r="B4342" s="7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</row>
    <row r="4343">
      <c r="A4343" s="7"/>
      <c r="B4343" s="7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</row>
    <row r="4344">
      <c r="A4344" s="7"/>
      <c r="B4344" s="7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</row>
    <row r="4345">
      <c r="A4345" s="7"/>
      <c r="B4345" s="7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</row>
    <row r="4346">
      <c r="A4346" s="7"/>
      <c r="B4346" s="7"/>
      <c r="C4346" s="7"/>
      <c r="D4346" s="7"/>
      <c r="E4346" s="7"/>
      <c r="F4346" s="7"/>
      <c r="G4346" s="7"/>
      <c r="H4346" s="7"/>
      <c r="I4346" s="7"/>
      <c r="J4346" s="7"/>
      <c r="K4346" s="7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</row>
    <row r="4347">
      <c r="A4347" s="7"/>
      <c r="B4347" s="7"/>
      <c r="C4347" s="7"/>
      <c r="D4347" s="7"/>
      <c r="E4347" s="7"/>
      <c r="F4347" s="7"/>
      <c r="G4347" s="7"/>
      <c r="H4347" s="7"/>
      <c r="I4347" s="7"/>
      <c r="J4347" s="7"/>
      <c r="K4347" s="7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</row>
    <row r="4348">
      <c r="A4348" s="7"/>
      <c r="B4348" s="7"/>
      <c r="C4348" s="7"/>
      <c r="D4348" s="7"/>
      <c r="E4348" s="7"/>
      <c r="F4348" s="7"/>
      <c r="G4348" s="7"/>
      <c r="H4348" s="7"/>
      <c r="I4348" s="7"/>
      <c r="J4348" s="7"/>
      <c r="K4348" s="7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</row>
    <row r="4349">
      <c r="A4349" s="7"/>
      <c r="B4349" s="7"/>
      <c r="C4349" s="7"/>
      <c r="D4349" s="7"/>
      <c r="E4349" s="7"/>
      <c r="F4349" s="7"/>
      <c r="G4349" s="7"/>
      <c r="H4349" s="7"/>
      <c r="I4349" s="7"/>
      <c r="J4349" s="7"/>
      <c r="K4349" s="7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</row>
    <row r="4350">
      <c r="A4350" s="7"/>
      <c r="B4350" s="7"/>
      <c r="C4350" s="7"/>
      <c r="D4350" s="7"/>
      <c r="E4350" s="7"/>
      <c r="F4350" s="7"/>
      <c r="G4350" s="7"/>
      <c r="H4350" s="7"/>
      <c r="I4350" s="7"/>
      <c r="J4350" s="7"/>
      <c r="K4350" s="7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</row>
    <row r="4351">
      <c r="A4351" s="7"/>
      <c r="B4351" s="7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</row>
    <row r="4352">
      <c r="A4352" s="7"/>
      <c r="B4352" s="7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</row>
    <row r="4353">
      <c r="A4353" s="7"/>
      <c r="B4353" s="7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</row>
    <row r="4354">
      <c r="A4354" s="7"/>
      <c r="B4354" s="7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</row>
    <row r="4355">
      <c r="A4355" s="7"/>
      <c r="B4355" s="7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</row>
    <row r="4356">
      <c r="A4356" s="7"/>
      <c r="B4356" s="7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</row>
    <row r="4357">
      <c r="A4357" s="7"/>
      <c r="B4357" s="7"/>
      <c r="C4357" s="7"/>
      <c r="D4357" s="7"/>
      <c r="E4357" s="7"/>
      <c r="F4357" s="7"/>
      <c r="G4357" s="7"/>
      <c r="H4357" s="7"/>
      <c r="I4357" s="7"/>
      <c r="J4357" s="7"/>
      <c r="K4357" s="7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</row>
    <row r="4358">
      <c r="A4358" s="7"/>
      <c r="B4358" s="7"/>
      <c r="C4358" s="7"/>
      <c r="D4358" s="7"/>
      <c r="E4358" s="7"/>
      <c r="F4358" s="7"/>
      <c r="G4358" s="7"/>
      <c r="H4358" s="7"/>
      <c r="I4358" s="7"/>
      <c r="J4358" s="7"/>
      <c r="K4358" s="7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</row>
    <row r="4359">
      <c r="A4359" s="7"/>
      <c r="B4359" s="7"/>
      <c r="C4359" s="7"/>
      <c r="D4359" s="7"/>
      <c r="E4359" s="7"/>
      <c r="F4359" s="7"/>
      <c r="G4359" s="7"/>
      <c r="H4359" s="7"/>
      <c r="I4359" s="7"/>
      <c r="J4359" s="7"/>
      <c r="K4359" s="7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</row>
    <row r="4360">
      <c r="A4360" s="7"/>
      <c r="B4360" s="7"/>
      <c r="C4360" s="7"/>
      <c r="D4360" s="7"/>
      <c r="E4360" s="7"/>
      <c r="F4360" s="7"/>
      <c r="G4360" s="7"/>
      <c r="H4360" s="7"/>
      <c r="I4360" s="7"/>
      <c r="J4360" s="7"/>
      <c r="K4360" s="7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</row>
    <row r="4361">
      <c r="A4361" s="7"/>
      <c r="B4361" s="7"/>
      <c r="C4361" s="7"/>
      <c r="D4361" s="7"/>
      <c r="E4361" s="7"/>
      <c r="F4361" s="7"/>
      <c r="G4361" s="7"/>
      <c r="H4361" s="7"/>
      <c r="I4361" s="7"/>
      <c r="J4361" s="7"/>
      <c r="K4361" s="7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</row>
    <row r="4362">
      <c r="A4362" s="7"/>
      <c r="B4362" s="7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</row>
    <row r="4363">
      <c r="A4363" s="7"/>
      <c r="B4363" s="7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</row>
    <row r="4364">
      <c r="A4364" s="7"/>
      <c r="B4364" s="7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</row>
    <row r="4365">
      <c r="A4365" s="7"/>
      <c r="B4365" s="7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</row>
    <row r="4366">
      <c r="A4366" s="7"/>
      <c r="B4366" s="7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</row>
    <row r="4367">
      <c r="A4367" s="7"/>
      <c r="B4367" s="7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</row>
    <row r="4368">
      <c r="A4368" s="7"/>
      <c r="B4368" s="7"/>
      <c r="C4368" s="7"/>
      <c r="D4368" s="7"/>
      <c r="E4368" s="7"/>
      <c r="F4368" s="7"/>
      <c r="G4368" s="7"/>
      <c r="H4368" s="7"/>
      <c r="I4368" s="7"/>
      <c r="J4368" s="7"/>
      <c r="K4368" s="7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</row>
    <row r="4369">
      <c r="A4369" s="7"/>
      <c r="B4369" s="7"/>
      <c r="C4369" s="7"/>
      <c r="D4369" s="7"/>
      <c r="E4369" s="7"/>
      <c r="F4369" s="7"/>
      <c r="G4369" s="7"/>
      <c r="H4369" s="7"/>
      <c r="I4369" s="7"/>
      <c r="J4369" s="7"/>
      <c r="K4369" s="7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</row>
    <row r="4370">
      <c r="A4370" s="7"/>
      <c r="B4370" s="7"/>
      <c r="C4370" s="7"/>
      <c r="D4370" s="7"/>
      <c r="E4370" s="7"/>
      <c r="F4370" s="7"/>
      <c r="G4370" s="7"/>
      <c r="H4370" s="7"/>
      <c r="I4370" s="7"/>
      <c r="J4370" s="7"/>
      <c r="K4370" s="7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</row>
    <row r="4371">
      <c r="A4371" s="7"/>
      <c r="B4371" s="7"/>
      <c r="C4371" s="7"/>
      <c r="D4371" s="7"/>
      <c r="E4371" s="7"/>
      <c r="F4371" s="7"/>
      <c r="G4371" s="7"/>
      <c r="H4371" s="7"/>
      <c r="I4371" s="7"/>
      <c r="J4371" s="7"/>
      <c r="K4371" s="7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</row>
    <row r="4372">
      <c r="A4372" s="7"/>
      <c r="B4372" s="7"/>
      <c r="C4372" s="7"/>
      <c r="D4372" s="7"/>
      <c r="E4372" s="7"/>
      <c r="F4372" s="7"/>
      <c r="G4372" s="7"/>
      <c r="H4372" s="7"/>
      <c r="I4372" s="7"/>
      <c r="J4372" s="7"/>
      <c r="K4372" s="7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</row>
    <row r="4373">
      <c r="A4373" s="7"/>
      <c r="B4373" s="7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</row>
    <row r="4374">
      <c r="A4374" s="7"/>
      <c r="B4374" s="7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</row>
    <row r="4375">
      <c r="A4375" s="7"/>
      <c r="B4375" s="7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</row>
    <row r="4376">
      <c r="A4376" s="7"/>
      <c r="B4376" s="7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</row>
    <row r="4377">
      <c r="A4377" s="7"/>
      <c r="B4377" s="7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</row>
    <row r="4378">
      <c r="A4378" s="7"/>
      <c r="B4378" s="7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</row>
    <row r="4379">
      <c r="A4379" s="7"/>
      <c r="B4379" s="7"/>
      <c r="C4379" s="7"/>
      <c r="D4379" s="7"/>
      <c r="E4379" s="7"/>
      <c r="F4379" s="7"/>
      <c r="G4379" s="7"/>
      <c r="H4379" s="7"/>
      <c r="I4379" s="7"/>
      <c r="J4379" s="7"/>
      <c r="K4379" s="7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</row>
    <row r="4380">
      <c r="A4380" s="7"/>
      <c r="B4380" s="7"/>
      <c r="C4380" s="7"/>
      <c r="D4380" s="7"/>
      <c r="E4380" s="7"/>
      <c r="F4380" s="7"/>
      <c r="G4380" s="7"/>
      <c r="H4380" s="7"/>
      <c r="I4380" s="7"/>
      <c r="J4380" s="7"/>
      <c r="K4380" s="7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</row>
    <row r="4381">
      <c r="A4381" s="7"/>
      <c r="B4381" s="7"/>
      <c r="C4381" s="7"/>
      <c r="D4381" s="7"/>
      <c r="E4381" s="7"/>
      <c r="F4381" s="7"/>
      <c r="G4381" s="7"/>
      <c r="H4381" s="7"/>
      <c r="I4381" s="7"/>
      <c r="J4381" s="7"/>
      <c r="K4381" s="7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</row>
    <row r="4382">
      <c r="A4382" s="7"/>
      <c r="B4382" s="7"/>
      <c r="C4382" s="7"/>
      <c r="D4382" s="7"/>
      <c r="E4382" s="7"/>
      <c r="F4382" s="7"/>
      <c r="G4382" s="7"/>
      <c r="H4382" s="7"/>
      <c r="I4382" s="7"/>
      <c r="J4382" s="7"/>
      <c r="K4382" s="7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</row>
    <row r="4383">
      <c r="A4383" s="7"/>
      <c r="B4383" s="7"/>
      <c r="C4383" s="7"/>
      <c r="D4383" s="7"/>
      <c r="E4383" s="7"/>
      <c r="F4383" s="7"/>
      <c r="G4383" s="7"/>
      <c r="H4383" s="7"/>
      <c r="I4383" s="7"/>
      <c r="J4383" s="7"/>
      <c r="K4383" s="7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</row>
    <row r="4384">
      <c r="A4384" s="7"/>
      <c r="B4384" s="7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</row>
    <row r="4385">
      <c r="A4385" s="7"/>
      <c r="B4385" s="7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</row>
    <row r="4386">
      <c r="A4386" s="7"/>
      <c r="B4386" s="7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</row>
    <row r="4387">
      <c r="A4387" s="7"/>
      <c r="B4387" s="7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</row>
    <row r="4388">
      <c r="A4388" s="7"/>
      <c r="B4388" s="7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</row>
    <row r="4389">
      <c r="A4389" s="7"/>
      <c r="B4389" s="7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</row>
    <row r="4390">
      <c r="A4390" s="7"/>
      <c r="B4390" s="7"/>
      <c r="C4390" s="7"/>
      <c r="D4390" s="7"/>
      <c r="E4390" s="7"/>
      <c r="F4390" s="7"/>
      <c r="G4390" s="7"/>
      <c r="H4390" s="7"/>
      <c r="I4390" s="7"/>
      <c r="J4390" s="7"/>
      <c r="K4390" s="7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</row>
    <row r="4391">
      <c r="A4391" s="7"/>
      <c r="B4391" s="7"/>
      <c r="C4391" s="7"/>
      <c r="D4391" s="7"/>
      <c r="E4391" s="7"/>
      <c r="F4391" s="7"/>
      <c r="G4391" s="7"/>
      <c r="H4391" s="7"/>
      <c r="I4391" s="7"/>
      <c r="J4391" s="7"/>
      <c r="K4391" s="7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</row>
    <row r="4392">
      <c r="A4392" s="7"/>
      <c r="B4392" s="7"/>
      <c r="C4392" s="7"/>
      <c r="D4392" s="7"/>
      <c r="E4392" s="7"/>
      <c r="F4392" s="7"/>
      <c r="G4392" s="7"/>
      <c r="H4392" s="7"/>
      <c r="I4392" s="7"/>
      <c r="J4392" s="7"/>
      <c r="K4392" s="7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</row>
    <row r="4393">
      <c r="A4393" s="7"/>
      <c r="B4393" s="7"/>
      <c r="C4393" s="7"/>
      <c r="D4393" s="7"/>
      <c r="E4393" s="7"/>
      <c r="F4393" s="7"/>
      <c r="G4393" s="7"/>
      <c r="H4393" s="7"/>
      <c r="I4393" s="7"/>
      <c r="J4393" s="7"/>
      <c r="K4393" s="7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</row>
    <row r="4394">
      <c r="A4394" s="7"/>
      <c r="B4394" s="7"/>
      <c r="C4394" s="7"/>
      <c r="D4394" s="7"/>
      <c r="E4394" s="7"/>
      <c r="F4394" s="7"/>
      <c r="G4394" s="7"/>
      <c r="H4394" s="7"/>
      <c r="I4394" s="7"/>
      <c r="J4394" s="7"/>
      <c r="K4394" s="7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</row>
    <row r="4395">
      <c r="A4395" s="7"/>
      <c r="B4395" s="7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</row>
    <row r="4396">
      <c r="A4396" s="7"/>
      <c r="B4396" s="7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</row>
    <row r="4397">
      <c r="A4397" s="7"/>
      <c r="B4397" s="7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</row>
    <row r="4398">
      <c r="A4398" s="7"/>
      <c r="B4398" s="7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</row>
    <row r="4399">
      <c r="A4399" s="7"/>
      <c r="B4399" s="7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</row>
    <row r="4400">
      <c r="A4400" s="7"/>
      <c r="B4400" s="7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</row>
    <row r="4401">
      <c r="A4401" s="7"/>
      <c r="B4401" s="7"/>
      <c r="C4401" s="7"/>
      <c r="D4401" s="7"/>
      <c r="E4401" s="7"/>
      <c r="F4401" s="7"/>
      <c r="G4401" s="7"/>
      <c r="H4401" s="7"/>
      <c r="I4401" s="7"/>
      <c r="J4401" s="7"/>
      <c r="K4401" s="7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</row>
    <row r="4402">
      <c r="A4402" s="7"/>
      <c r="B4402" s="7"/>
      <c r="C4402" s="7"/>
      <c r="D4402" s="7"/>
      <c r="E4402" s="7"/>
      <c r="F4402" s="7"/>
      <c r="G4402" s="7"/>
      <c r="H4402" s="7"/>
      <c r="I4402" s="7"/>
      <c r="J4402" s="7"/>
      <c r="K4402" s="7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</row>
    <row r="4403">
      <c r="A4403" s="7"/>
      <c r="B4403" s="7"/>
      <c r="C4403" s="7"/>
      <c r="D4403" s="7"/>
      <c r="E4403" s="7"/>
      <c r="F4403" s="7"/>
      <c r="G4403" s="7"/>
      <c r="H4403" s="7"/>
      <c r="I4403" s="7"/>
      <c r="J4403" s="7"/>
      <c r="K4403" s="7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</row>
    <row r="4404">
      <c r="A4404" s="7"/>
      <c r="B4404" s="7"/>
      <c r="C4404" s="7"/>
      <c r="D4404" s="7"/>
      <c r="E4404" s="7"/>
      <c r="F4404" s="7"/>
      <c r="G4404" s="7"/>
      <c r="H4404" s="7"/>
      <c r="I4404" s="7"/>
      <c r="J4404" s="7"/>
      <c r="K4404" s="7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</row>
    <row r="4405">
      <c r="A4405" s="7"/>
      <c r="B4405" s="7"/>
      <c r="C4405" s="7"/>
      <c r="D4405" s="7"/>
      <c r="E4405" s="7"/>
      <c r="F4405" s="7"/>
      <c r="G4405" s="7"/>
      <c r="H4405" s="7"/>
      <c r="I4405" s="7"/>
      <c r="J4405" s="7"/>
      <c r="K4405" s="7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</row>
    <row r="4406">
      <c r="A4406" s="7"/>
      <c r="B4406" s="7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</row>
    <row r="4407">
      <c r="A4407" s="7"/>
      <c r="B4407" s="7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</row>
    <row r="4408">
      <c r="A4408" s="7"/>
      <c r="B4408" s="7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</row>
    <row r="4409">
      <c r="A4409" s="7"/>
      <c r="B4409" s="7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</row>
    <row r="4410">
      <c r="A4410" s="7"/>
      <c r="B4410" s="7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</row>
    <row r="4411">
      <c r="A4411" s="7"/>
      <c r="B4411" s="7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</row>
    <row r="4412">
      <c r="A4412" s="7"/>
      <c r="B4412" s="7"/>
      <c r="C4412" s="7"/>
      <c r="D4412" s="7"/>
      <c r="E4412" s="7"/>
      <c r="F4412" s="7"/>
      <c r="G4412" s="7"/>
      <c r="H4412" s="7"/>
      <c r="I4412" s="7"/>
      <c r="J4412" s="7"/>
      <c r="K4412" s="7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</row>
    <row r="4413">
      <c r="A4413" s="7"/>
      <c r="B4413" s="7"/>
      <c r="C4413" s="7"/>
      <c r="D4413" s="7"/>
      <c r="E4413" s="7"/>
      <c r="F4413" s="7"/>
      <c r="G4413" s="7"/>
      <c r="H4413" s="7"/>
      <c r="I4413" s="7"/>
      <c r="J4413" s="7"/>
      <c r="K4413" s="7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</row>
    <row r="4414">
      <c r="A4414" s="7"/>
      <c r="B4414" s="7"/>
      <c r="C4414" s="7"/>
      <c r="D4414" s="7"/>
      <c r="E4414" s="7"/>
      <c r="F4414" s="7"/>
      <c r="G4414" s="7"/>
      <c r="H4414" s="7"/>
      <c r="I4414" s="7"/>
      <c r="J4414" s="7"/>
      <c r="K4414" s="7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</row>
    <row r="4415">
      <c r="A4415" s="7"/>
      <c r="B4415" s="7"/>
      <c r="C4415" s="7"/>
      <c r="D4415" s="7"/>
      <c r="E4415" s="7"/>
      <c r="F4415" s="7"/>
      <c r="G4415" s="7"/>
      <c r="H4415" s="7"/>
      <c r="I4415" s="7"/>
      <c r="J4415" s="7"/>
      <c r="K4415" s="7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</row>
    <row r="4416">
      <c r="A4416" s="7"/>
      <c r="B4416" s="7"/>
      <c r="C4416" s="7"/>
      <c r="D4416" s="7"/>
      <c r="E4416" s="7"/>
      <c r="F4416" s="7"/>
      <c r="G4416" s="7"/>
      <c r="H4416" s="7"/>
      <c r="I4416" s="7"/>
      <c r="J4416" s="7"/>
      <c r="K4416" s="7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</row>
    <row r="4417">
      <c r="A4417" s="7"/>
      <c r="B4417" s="7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</row>
    <row r="4418">
      <c r="A4418" s="7"/>
      <c r="B4418" s="7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</row>
    <row r="4419">
      <c r="A4419" s="7"/>
      <c r="B4419" s="7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</row>
    <row r="4420">
      <c r="A4420" s="7"/>
      <c r="B4420" s="7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</row>
    <row r="4421">
      <c r="A4421" s="7"/>
      <c r="B4421" s="7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</row>
    <row r="4422">
      <c r="A4422" s="7"/>
      <c r="B4422" s="7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</row>
    <row r="4423">
      <c r="A4423" s="7"/>
      <c r="B4423" s="7"/>
      <c r="C4423" s="7"/>
      <c r="D4423" s="7"/>
      <c r="E4423" s="7"/>
      <c r="F4423" s="7"/>
      <c r="G4423" s="7"/>
      <c r="H4423" s="7"/>
      <c r="I4423" s="7"/>
      <c r="J4423" s="7"/>
      <c r="K4423" s="7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</row>
    <row r="4424">
      <c r="A4424" s="7"/>
      <c r="B4424" s="7"/>
      <c r="C4424" s="7"/>
      <c r="D4424" s="7"/>
      <c r="E4424" s="7"/>
      <c r="F4424" s="7"/>
      <c r="G4424" s="7"/>
      <c r="H4424" s="7"/>
      <c r="I4424" s="7"/>
      <c r="J4424" s="7"/>
      <c r="K4424" s="7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</row>
    <row r="4425">
      <c r="A4425" s="7"/>
      <c r="B4425" s="7"/>
      <c r="C4425" s="7"/>
      <c r="D4425" s="7"/>
      <c r="E4425" s="7"/>
      <c r="F4425" s="7"/>
      <c r="G4425" s="7"/>
      <c r="H4425" s="7"/>
      <c r="I4425" s="7"/>
      <c r="J4425" s="7"/>
      <c r="K4425" s="7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</row>
    <row r="4426">
      <c r="A4426" s="7"/>
      <c r="B4426" s="7"/>
      <c r="C4426" s="7"/>
      <c r="D4426" s="7"/>
      <c r="E4426" s="7"/>
      <c r="F4426" s="7"/>
      <c r="G4426" s="7"/>
      <c r="H4426" s="7"/>
      <c r="I4426" s="7"/>
      <c r="J4426" s="7"/>
      <c r="K4426" s="7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</row>
    <row r="4427">
      <c r="A4427" s="7"/>
      <c r="B4427" s="7"/>
      <c r="C4427" s="7"/>
      <c r="D4427" s="7"/>
      <c r="E4427" s="7"/>
      <c r="F4427" s="7"/>
      <c r="G4427" s="7"/>
      <c r="H4427" s="7"/>
      <c r="I4427" s="7"/>
      <c r="J4427" s="7"/>
      <c r="K4427" s="7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</row>
    <row r="4428">
      <c r="A4428" s="7"/>
      <c r="B4428" s="7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</row>
    <row r="4429">
      <c r="A4429" s="7"/>
      <c r="B4429" s="7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</row>
    <row r="4430">
      <c r="A4430" s="7"/>
      <c r="B4430" s="7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</row>
    <row r="4431">
      <c r="A4431" s="7"/>
      <c r="B4431" s="7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</row>
    <row r="4432">
      <c r="A4432" s="7"/>
      <c r="B4432" s="7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</row>
    <row r="4433">
      <c r="A4433" s="7"/>
      <c r="B4433" s="7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</row>
    <row r="4434">
      <c r="A4434" s="7"/>
      <c r="B4434" s="7"/>
      <c r="C4434" s="7"/>
      <c r="D4434" s="7"/>
      <c r="E4434" s="7"/>
      <c r="F4434" s="7"/>
      <c r="G4434" s="7"/>
      <c r="H4434" s="7"/>
      <c r="I4434" s="7"/>
      <c r="J4434" s="7"/>
      <c r="K4434" s="7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</row>
    <row r="4435">
      <c r="A4435" s="7"/>
      <c r="B4435" s="7"/>
      <c r="C4435" s="7"/>
      <c r="D4435" s="7"/>
      <c r="E4435" s="7"/>
      <c r="F4435" s="7"/>
      <c r="G4435" s="7"/>
      <c r="H4435" s="7"/>
      <c r="I4435" s="7"/>
      <c r="J4435" s="7"/>
      <c r="K4435" s="7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</row>
    <row r="4436">
      <c r="A4436" s="7"/>
      <c r="B4436" s="7"/>
      <c r="C4436" s="7"/>
      <c r="D4436" s="7"/>
      <c r="E4436" s="7"/>
      <c r="F4436" s="7"/>
      <c r="G4436" s="7"/>
      <c r="H4436" s="7"/>
      <c r="I4436" s="7"/>
      <c r="J4436" s="7"/>
      <c r="K4436" s="7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</row>
    <row r="4437">
      <c r="A4437" s="7"/>
      <c r="B4437" s="7"/>
      <c r="C4437" s="7"/>
      <c r="D4437" s="7"/>
      <c r="E4437" s="7"/>
      <c r="F4437" s="7"/>
      <c r="G4437" s="7"/>
      <c r="H4437" s="7"/>
      <c r="I4437" s="7"/>
      <c r="J4437" s="7"/>
      <c r="K4437" s="7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</row>
    <row r="4438">
      <c r="A4438" s="7"/>
      <c r="B4438" s="7"/>
      <c r="C4438" s="7"/>
      <c r="D4438" s="7"/>
      <c r="E4438" s="7"/>
      <c r="F4438" s="7"/>
      <c r="G4438" s="7"/>
      <c r="H4438" s="7"/>
      <c r="I4438" s="7"/>
      <c r="J4438" s="7"/>
      <c r="K4438" s="7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</row>
    <row r="4439">
      <c r="A4439" s="7"/>
      <c r="B4439" s="7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</row>
    <row r="4440">
      <c r="A4440" s="7"/>
      <c r="B4440" s="7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</row>
    <row r="4441">
      <c r="A4441" s="7"/>
      <c r="B4441" s="7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</row>
    <row r="4442">
      <c r="A4442" s="7"/>
      <c r="B4442" s="7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</row>
    <row r="4443">
      <c r="A4443" s="7"/>
      <c r="B4443" s="7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</row>
    <row r="4444">
      <c r="A4444" s="7"/>
      <c r="B4444" s="7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</row>
    <row r="4445">
      <c r="A4445" s="7"/>
      <c r="B4445" s="7"/>
      <c r="C4445" s="7"/>
      <c r="D4445" s="7"/>
      <c r="E4445" s="7"/>
      <c r="F4445" s="7"/>
      <c r="G4445" s="7"/>
      <c r="H4445" s="7"/>
      <c r="I4445" s="7"/>
      <c r="J4445" s="7"/>
      <c r="K4445" s="7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</row>
    <row r="4446">
      <c r="A4446" s="7"/>
      <c r="B4446" s="7"/>
      <c r="C4446" s="7"/>
      <c r="D4446" s="7"/>
      <c r="E4446" s="7"/>
      <c r="F4446" s="7"/>
      <c r="G4446" s="7"/>
      <c r="H4446" s="7"/>
      <c r="I4446" s="7"/>
      <c r="J4446" s="7"/>
      <c r="K4446" s="7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</row>
    <row r="4447">
      <c r="A4447" s="7"/>
      <c r="B4447" s="7"/>
      <c r="C4447" s="7"/>
      <c r="D4447" s="7"/>
      <c r="E4447" s="7"/>
      <c r="F4447" s="7"/>
      <c r="G4447" s="7"/>
      <c r="H4447" s="7"/>
      <c r="I4447" s="7"/>
      <c r="J4447" s="7"/>
      <c r="K4447" s="7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</row>
    <row r="4448">
      <c r="A4448" s="7"/>
      <c r="B4448" s="7"/>
      <c r="C4448" s="7"/>
      <c r="D4448" s="7"/>
      <c r="E4448" s="7"/>
      <c r="F4448" s="7"/>
      <c r="G4448" s="7"/>
      <c r="H4448" s="7"/>
      <c r="I4448" s="7"/>
      <c r="J4448" s="7"/>
      <c r="K4448" s="7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</row>
    <row r="4449">
      <c r="A4449" s="7"/>
      <c r="B4449" s="7"/>
      <c r="C4449" s="7"/>
      <c r="D4449" s="7"/>
      <c r="E4449" s="7"/>
      <c r="F4449" s="7"/>
      <c r="G4449" s="7"/>
      <c r="H4449" s="7"/>
      <c r="I4449" s="7"/>
      <c r="J4449" s="7"/>
      <c r="K4449" s="7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</row>
    <row r="4450">
      <c r="A4450" s="7"/>
      <c r="B4450" s="7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</row>
    <row r="4451">
      <c r="A4451" s="7"/>
      <c r="B4451" s="7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</row>
    <row r="4452">
      <c r="A4452" s="7"/>
      <c r="B4452" s="7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</row>
    <row r="4453">
      <c r="A4453" s="7"/>
      <c r="B4453" s="7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</row>
    <row r="4454">
      <c r="A4454" s="7"/>
      <c r="B4454" s="7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</row>
    <row r="4455">
      <c r="A4455" s="7"/>
      <c r="B4455" s="7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</row>
    <row r="4456">
      <c r="A4456" s="7"/>
      <c r="B4456" s="7"/>
      <c r="C4456" s="7"/>
      <c r="D4456" s="7"/>
      <c r="E4456" s="7"/>
      <c r="F4456" s="7"/>
      <c r="G4456" s="7"/>
      <c r="H4456" s="7"/>
      <c r="I4456" s="7"/>
      <c r="J4456" s="7"/>
      <c r="K4456" s="7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</row>
    <row r="4457">
      <c r="A4457" s="7"/>
      <c r="B4457" s="7"/>
      <c r="C4457" s="7"/>
      <c r="D4457" s="7"/>
      <c r="E4457" s="7"/>
      <c r="F4457" s="7"/>
      <c r="G4457" s="7"/>
      <c r="H4457" s="7"/>
      <c r="I4457" s="7"/>
      <c r="J4457" s="7"/>
      <c r="K4457" s="7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</row>
    <row r="4458">
      <c r="A4458" s="7"/>
      <c r="B4458" s="7"/>
      <c r="C4458" s="7"/>
      <c r="D4458" s="7"/>
      <c r="E4458" s="7"/>
      <c r="F4458" s="7"/>
      <c r="G4458" s="7"/>
      <c r="H4458" s="7"/>
      <c r="I4458" s="7"/>
      <c r="J4458" s="7"/>
      <c r="K4458" s="7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</row>
    <row r="4459">
      <c r="A4459" s="7"/>
      <c r="B4459" s="7"/>
      <c r="C4459" s="7"/>
      <c r="D4459" s="7"/>
      <c r="E4459" s="7"/>
      <c r="F4459" s="7"/>
      <c r="G4459" s="7"/>
      <c r="H4459" s="7"/>
      <c r="I4459" s="7"/>
      <c r="J4459" s="7"/>
      <c r="K4459" s="7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</row>
    <row r="4460">
      <c r="A4460" s="7"/>
      <c r="B4460" s="7"/>
      <c r="C4460" s="7"/>
      <c r="D4460" s="7"/>
      <c r="E4460" s="7"/>
      <c r="F4460" s="7"/>
      <c r="G4460" s="7"/>
      <c r="H4460" s="7"/>
      <c r="I4460" s="7"/>
      <c r="J4460" s="7"/>
      <c r="K4460" s="7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</row>
    <row r="4461">
      <c r="A4461" s="7"/>
      <c r="B4461" s="7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</row>
    <row r="4462">
      <c r="A4462" s="7"/>
      <c r="B4462" s="7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</row>
    <row r="4463">
      <c r="A4463" s="7"/>
      <c r="B4463" s="7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</row>
    <row r="4464">
      <c r="A4464" s="7"/>
      <c r="B4464" s="7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</row>
    <row r="4465">
      <c r="A4465" s="7"/>
      <c r="B4465" s="7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</row>
    <row r="4466">
      <c r="A4466" s="7"/>
      <c r="B4466" s="7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</row>
    <row r="4467">
      <c r="A4467" s="7"/>
      <c r="B4467" s="7"/>
      <c r="C4467" s="7"/>
      <c r="D4467" s="7"/>
      <c r="E4467" s="7"/>
      <c r="F4467" s="7"/>
      <c r="G4467" s="7"/>
      <c r="H4467" s="7"/>
      <c r="I4467" s="7"/>
      <c r="J4467" s="7"/>
      <c r="K4467" s="7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</row>
    <row r="4468">
      <c r="A4468" s="7"/>
      <c r="B4468" s="7"/>
      <c r="C4468" s="7"/>
      <c r="D4468" s="7"/>
      <c r="E4468" s="7"/>
      <c r="F4468" s="7"/>
      <c r="G4468" s="7"/>
      <c r="H4468" s="7"/>
      <c r="I4468" s="7"/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</row>
    <row r="4469">
      <c r="A4469" s="7"/>
      <c r="B4469" s="7"/>
      <c r="C4469" s="7"/>
      <c r="D4469" s="7"/>
      <c r="E4469" s="7"/>
      <c r="F4469" s="7"/>
      <c r="G4469" s="7"/>
      <c r="H4469" s="7"/>
      <c r="I4469" s="7"/>
      <c r="J4469" s="7"/>
      <c r="K4469" s="7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</row>
    <row r="4470">
      <c r="A4470" s="7"/>
      <c r="B4470" s="7"/>
      <c r="C4470" s="7"/>
      <c r="D4470" s="7"/>
      <c r="E4470" s="7"/>
      <c r="F4470" s="7"/>
      <c r="G4470" s="7"/>
      <c r="H4470" s="7"/>
      <c r="I4470" s="7"/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</row>
    <row r="4471">
      <c r="A4471" s="7"/>
      <c r="B4471" s="7"/>
      <c r="C4471" s="7"/>
      <c r="D4471" s="7"/>
      <c r="E4471" s="7"/>
      <c r="F4471" s="7"/>
      <c r="G4471" s="7"/>
      <c r="H4471" s="7"/>
      <c r="I4471" s="7"/>
      <c r="J4471" s="7"/>
      <c r="K4471" s="7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</row>
    <row r="4472">
      <c r="A4472" s="7"/>
      <c r="B4472" s="7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</row>
    <row r="4473">
      <c r="A4473" s="7"/>
      <c r="B4473" s="7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</row>
    <row r="4474">
      <c r="A4474" s="7"/>
      <c r="B4474" s="7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</row>
    <row r="4475">
      <c r="A4475" s="7"/>
      <c r="B4475" s="7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</row>
    <row r="4476">
      <c r="A4476" s="7"/>
      <c r="B4476" s="7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</row>
    <row r="4477">
      <c r="A4477" s="7"/>
      <c r="B4477" s="7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</row>
    <row r="4478">
      <c r="A4478" s="7"/>
      <c r="B4478" s="7"/>
      <c r="C4478" s="7"/>
      <c r="D4478" s="7"/>
      <c r="E4478" s="7"/>
      <c r="F4478" s="7"/>
      <c r="G4478" s="7"/>
      <c r="H4478" s="7"/>
      <c r="I4478" s="7"/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</row>
    <row r="4479">
      <c r="A4479" s="7"/>
      <c r="B4479" s="7"/>
      <c r="C4479" s="7"/>
      <c r="D4479" s="7"/>
      <c r="E4479" s="7"/>
      <c r="F4479" s="7"/>
      <c r="G4479" s="7"/>
      <c r="H4479" s="7"/>
      <c r="I4479" s="7"/>
      <c r="J4479" s="7"/>
      <c r="K4479" s="7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</row>
    <row r="4480">
      <c r="A4480" s="7"/>
      <c r="B4480" s="7"/>
      <c r="C4480" s="7"/>
      <c r="D4480" s="7"/>
      <c r="E4480" s="7"/>
      <c r="F4480" s="7"/>
      <c r="G4480" s="7"/>
      <c r="H4480" s="7"/>
      <c r="I4480" s="7"/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</row>
    <row r="4481">
      <c r="A4481" s="7"/>
      <c r="B4481" s="7"/>
      <c r="C4481" s="7"/>
      <c r="D4481" s="7"/>
      <c r="E4481" s="7"/>
      <c r="F4481" s="7"/>
      <c r="G4481" s="7"/>
      <c r="H4481" s="7"/>
      <c r="I4481" s="7"/>
      <c r="J4481" s="7"/>
      <c r="K4481" s="7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</row>
    <row r="4482">
      <c r="A4482" s="7"/>
      <c r="B4482" s="7"/>
      <c r="C4482" s="7"/>
      <c r="D4482" s="7"/>
      <c r="E4482" s="7"/>
      <c r="F4482" s="7"/>
      <c r="G4482" s="7"/>
      <c r="H4482" s="7"/>
      <c r="I4482" s="7"/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</row>
    <row r="4483">
      <c r="A4483" s="7"/>
      <c r="B4483" s="7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</row>
    <row r="4484">
      <c r="A4484" s="7"/>
      <c r="B4484" s="7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</row>
    <row r="4485">
      <c r="A4485" s="7"/>
      <c r="B4485" s="7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</row>
    <row r="4486">
      <c r="A4486" s="7"/>
      <c r="B4486" s="7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</row>
    <row r="4487">
      <c r="A4487" s="7"/>
      <c r="B4487" s="7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</row>
    <row r="4488">
      <c r="A4488" s="7"/>
      <c r="B4488" s="7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</row>
    <row r="4489">
      <c r="A4489" s="7"/>
      <c r="B4489" s="7"/>
      <c r="C4489" s="7"/>
      <c r="D4489" s="7"/>
      <c r="E4489" s="7"/>
      <c r="F4489" s="7"/>
      <c r="G4489" s="7"/>
      <c r="H4489" s="7"/>
      <c r="I4489" s="7"/>
      <c r="J4489" s="7"/>
      <c r="K4489" s="7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</row>
    <row r="4490">
      <c r="A4490" s="7"/>
      <c r="B4490" s="7"/>
      <c r="C4490" s="7"/>
      <c r="D4490" s="7"/>
      <c r="E4490" s="7"/>
      <c r="F4490" s="7"/>
      <c r="G4490" s="7"/>
      <c r="H4490" s="7"/>
      <c r="I4490" s="7"/>
      <c r="J4490" s="7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</row>
    <row r="4491">
      <c r="A4491" s="7"/>
      <c r="B4491" s="7"/>
      <c r="C4491" s="7"/>
      <c r="D4491" s="7"/>
      <c r="E4491" s="7"/>
      <c r="F4491" s="7"/>
      <c r="G4491" s="7"/>
      <c r="H4491" s="7"/>
      <c r="I4491" s="7"/>
      <c r="J4491" s="7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</row>
    <row r="4492">
      <c r="A4492" s="7"/>
      <c r="B4492" s="7"/>
      <c r="C4492" s="7"/>
      <c r="D4492" s="7"/>
      <c r="E4492" s="7"/>
      <c r="F4492" s="7"/>
      <c r="G4492" s="7"/>
      <c r="H4492" s="7"/>
      <c r="I4492" s="7"/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</row>
    <row r="4493">
      <c r="A4493" s="7"/>
      <c r="B4493" s="7"/>
      <c r="C4493" s="7"/>
      <c r="D4493" s="7"/>
      <c r="E4493" s="7"/>
      <c r="F4493" s="7"/>
      <c r="G4493" s="7"/>
      <c r="H4493" s="7"/>
      <c r="I4493" s="7"/>
      <c r="J4493" s="7"/>
      <c r="K4493" s="7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</row>
    <row r="4494">
      <c r="A4494" s="7"/>
      <c r="B4494" s="7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</row>
    <row r="4495">
      <c r="A4495" s="7"/>
      <c r="B4495" s="7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</row>
    <row r="4496">
      <c r="A4496" s="7"/>
      <c r="B4496" s="7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</row>
    <row r="4497">
      <c r="A4497" s="7"/>
      <c r="B4497" s="7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</row>
    <row r="4498">
      <c r="A4498" s="7"/>
      <c r="B4498" s="7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</row>
    <row r="4499">
      <c r="A4499" s="7"/>
      <c r="B4499" s="7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</row>
    <row r="4500">
      <c r="A4500" s="7"/>
      <c r="B4500" s="7"/>
      <c r="C4500" s="7"/>
      <c r="D4500" s="7"/>
      <c r="E4500" s="7"/>
      <c r="F4500" s="7"/>
      <c r="G4500" s="7"/>
      <c r="H4500" s="7"/>
      <c r="I4500" s="7"/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</row>
    <row r="4501">
      <c r="A4501" s="7"/>
      <c r="B4501" s="7"/>
      <c r="C4501" s="7"/>
      <c r="D4501" s="7"/>
      <c r="E4501" s="7"/>
      <c r="F4501" s="7"/>
      <c r="G4501" s="7"/>
      <c r="H4501" s="7"/>
      <c r="I4501" s="7"/>
      <c r="J4501" s="7"/>
      <c r="K4501" s="7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</row>
    <row r="4502">
      <c r="A4502" s="7"/>
      <c r="B4502" s="7"/>
      <c r="C4502" s="7"/>
      <c r="D4502" s="7"/>
      <c r="E4502" s="7"/>
      <c r="F4502" s="7"/>
      <c r="G4502" s="7"/>
      <c r="H4502" s="7"/>
      <c r="I4502" s="7"/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</row>
    <row r="4503">
      <c r="A4503" s="7"/>
      <c r="B4503" s="7"/>
      <c r="C4503" s="7"/>
      <c r="D4503" s="7"/>
      <c r="E4503" s="7"/>
      <c r="F4503" s="7"/>
      <c r="G4503" s="7"/>
      <c r="H4503" s="7"/>
      <c r="I4503" s="7"/>
      <c r="J4503" s="7"/>
      <c r="K4503" s="7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</row>
    <row r="4504">
      <c r="A4504" s="7"/>
      <c r="B4504" s="7"/>
      <c r="C4504" s="7"/>
      <c r="D4504" s="7"/>
      <c r="E4504" s="7"/>
      <c r="F4504" s="7"/>
      <c r="G4504" s="7"/>
      <c r="H4504" s="7"/>
      <c r="I4504" s="7"/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</row>
    <row r="4505">
      <c r="A4505" s="7"/>
      <c r="B4505" s="7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</row>
    <row r="4506">
      <c r="A4506" s="7"/>
      <c r="B4506" s="7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</row>
    <row r="4507">
      <c r="A4507" s="7"/>
      <c r="B4507" s="7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</row>
    <row r="4508">
      <c r="A4508" s="7"/>
      <c r="B4508" s="7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</row>
    <row r="4509">
      <c r="A4509" s="7"/>
      <c r="B4509" s="7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</row>
    <row r="4510">
      <c r="A4510" s="7"/>
      <c r="B4510" s="7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</row>
    <row r="4511">
      <c r="A4511" s="7"/>
      <c r="B4511" s="7"/>
      <c r="C4511" s="7"/>
      <c r="D4511" s="7"/>
      <c r="E4511" s="7"/>
      <c r="F4511" s="7"/>
      <c r="G4511" s="7"/>
      <c r="H4511" s="7"/>
      <c r="I4511" s="7"/>
      <c r="J4511" s="7"/>
      <c r="K4511" s="7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</row>
    <row r="4512">
      <c r="A4512" s="7"/>
      <c r="B4512" s="7"/>
      <c r="C4512" s="7"/>
      <c r="D4512" s="7"/>
      <c r="E4512" s="7"/>
      <c r="F4512" s="7"/>
      <c r="G4512" s="7"/>
      <c r="H4512" s="7"/>
      <c r="I4512" s="7"/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</row>
    <row r="4513">
      <c r="A4513" s="7"/>
      <c r="B4513" s="7"/>
      <c r="C4513" s="7"/>
      <c r="D4513" s="7"/>
      <c r="E4513" s="7"/>
      <c r="F4513" s="7"/>
      <c r="G4513" s="7"/>
      <c r="H4513" s="7"/>
      <c r="I4513" s="7"/>
      <c r="J4513" s="7"/>
      <c r="K4513" s="7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</row>
    <row r="4514">
      <c r="A4514" s="7"/>
      <c r="B4514" s="7"/>
      <c r="C4514" s="7"/>
      <c r="D4514" s="7"/>
      <c r="E4514" s="7"/>
      <c r="F4514" s="7"/>
      <c r="G4514" s="7"/>
      <c r="H4514" s="7"/>
      <c r="I4514" s="7"/>
      <c r="J4514" s="7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</row>
    <row r="4515">
      <c r="A4515" s="7"/>
      <c r="B4515" s="7"/>
      <c r="C4515" s="7"/>
      <c r="D4515" s="7"/>
      <c r="E4515" s="7"/>
      <c r="F4515" s="7"/>
      <c r="G4515" s="7"/>
      <c r="H4515" s="7"/>
      <c r="I4515" s="7"/>
      <c r="J4515" s="7"/>
      <c r="K4515" s="7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</row>
    <row r="4516">
      <c r="A4516" s="7"/>
      <c r="B4516" s="7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</row>
    <row r="4517">
      <c r="A4517" s="7"/>
      <c r="B4517" s="7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</row>
    <row r="4518">
      <c r="A4518" s="7"/>
      <c r="B4518" s="7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</row>
    <row r="4519">
      <c r="A4519" s="7"/>
      <c r="B4519" s="7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</row>
    <row r="4520">
      <c r="A4520" s="7"/>
      <c r="B4520" s="7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</row>
    <row r="4521">
      <c r="A4521" s="7"/>
      <c r="B4521" s="7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</row>
    <row r="4522">
      <c r="A4522" s="7"/>
      <c r="B4522" s="7"/>
      <c r="C4522" s="7"/>
      <c r="D4522" s="7"/>
      <c r="E4522" s="7"/>
      <c r="F4522" s="7"/>
      <c r="G4522" s="7"/>
      <c r="H4522" s="7"/>
      <c r="I4522" s="7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</row>
    <row r="4523">
      <c r="A4523" s="7"/>
      <c r="B4523" s="7"/>
      <c r="C4523" s="7"/>
      <c r="D4523" s="7"/>
      <c r="E4523" s="7"/>
      <c r="F4523" s="7"/>
      <c r="G4523" s="7"/>
      <c r="H4523" s="7"/>
      <c r="I4523" s="7"/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</row>
    <row r="4524">
      <c r="A4524" s="7"/>
      <c r="B4524" s="7"/>
      <c r="C4524" s="7"/>
      <c r="D4524" s="7"/>
      <c r="E4524" s="7"/>
      <c r="F4524" s="7"/>
      <c r="G4524" s="7"/>
      <c r="H4524" s="7"/>
      <c r="I4524" s="7"/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</row>
    <row r="4525">
      <c r="A4525" s="7"/>
      <c r="B4525" s="7"/>
      <c r="C4525" s="7"/>
      <c r="D4525" s="7"/>
      <c r="E4525" s="7"/>
      <c r="F4525" s="7"/>
      <c r="G4525" s="7"/>
      <c r="H4525" s="7"/>
      <c r="I4525" s="7"/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</row>
    <row r="4526">
      <c r="A4526" s="7"/>
      <c r="B4526" s="7"/>
      <c r="C4526" s="7"/>
      <c r="D4526" s="7"/>
      <c r="E4526" s="7"/>
      <c r="F4526" s="7"/>
      <c r="G4526" s="7"/>
      <c r="H4526" s="7"/>
      <c r="I4526" s="7"/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</row>
    <row r="4527">
      <c r="A4527" s="7"/>
      <c r="B4527" s="7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</row>
    <row r="4528">
      <c r="A4528" s="7"/>
      <c r="B4528" s="7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</row>
    <row r="4529">
      <c r="A4529" s="7"/>
      <c r="B4529" s="7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</row>
    <row r="4530">
      <c r="A4530" s="7"/>
      <c r="B4530" s="7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</row>
    <row r="4531">
      <c r="A4531" s="7"/>
      <c r="B4531" s="7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</row>
    <row r="4532">
      <c r="A4532" s="7"/>
      <c r="B4532" s="7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</row>
    <row r="4533">
      <c r="A4533" s="7"/>
      <c r="B4533" s="7"/>
      <c r="C4533" s="7"/>
      <c r="D4533" s="7"/>
      <c r="E4533" s="7"/>
      <c r="F4533" s="7"/>
      <c r="G4533" s="7"/>
      <c r="H4533" s="7"/>
      <c r="I4533" s="7"/>
      <c r="J4533" s="7"/>
      <c r="K4533" s="7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</row>
    <row r="4534">
      <c r="A4534" s="7"/>
      <c r="B4534" s="7"/>
      <c r="C4534" s="7"/>
      <c r="D4534" s="7"/>
      <c r="E4534" s="7"/>
      <c r="F4534" s="7"/>
      <c r="G4534" s="7"/>
      <c r="H4534" s="7"/>
      <c r="I4534" s="7"/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</row>
    <row r="4535">
      <c r="A4535" s="7"/>
      <c r="B4535" s="7"/>
      <c r="C4535" s="7"/>
      <c r="D4535" s="7"/>
      <c r="E4535" s="7"/>
      <c r="F4535" s="7"/>
      <c r="G4535" s="7"/>
      <c r="H4535" s="7"/>
      <c r="I4535" s="7"/>
      <c r="J4535" s="7"/>
      <c r="K4535" s="7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</row>
    <row r="4536">
      <c r="A4536" s="7"/>
      <c r="B4536" s="7"/>
      <c r="C4536" s="7"/>
      <c r="D4536" s="7"/>
      <c r="E4536" s="7"/>
      <c r="F4536" s="7"/>
      <c r="G4536" s="7"/>
      <c r="H4536" s="7"/>
      <c r="I4536" s="7"/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</row>
    <row r="4537">
      <c r="A4537" s="7"/>
      <c r="B4537" s="7"/>
      <c r="C4537" s="7"/>
      <c r="D4537" s="7"/>
      <c r="E4537" s="7"/>
      <c r="F4537" s="7"/>
      <c r="G4537" s="7"/>
      <c r="H4537" s="7"/>
      <c r="I4537" s="7"/>
      <c r="J4537" s="7"/>
      <c r="K4537" s="7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</row>
    <row r="4538">
      <c r="A4538" s="7"/>
      <c r="B4538" s="7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</row>
    <row r="4539">
      <c r="A4539" s="7"/>
      <c r="B4539" s="7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</row>
    <row r="4540">
      <c r="A4540" s="7"/>
      <c r="B4540" s="7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</row>
    <row r="4541">
      <c r="A4541" s="7"/>
      <c r="B4541" s="7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</row>
    <row r="4542">
      <c r="A4542" s="7"/>
      <c r="B4542" s="7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</row>
    <row r="4543">
      <c r="A4543" s="7"/>
      <c r="B4543" s="7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</row>
    <row r="4544">
      <c r="A4544" s="7"/>
      <c r="B4544" s="7"/>
      <c r="C4544" s="7"/>
      <c r="D4544" s="7"/>
      <c r="E4544" s="7"/>
      <c r="F4544" s="7"/>
      <c r="G4544" s="7"/>
      <c r="H4544" s="7"/>
      <c r="I4544" s="7"/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</row>
    <row r="4545">
      <c r="A4545" s="7"/>
      <c r="B4545" s="7"/>
      <c r="C4545" s="7"/>
      <c r="D4545" s="7"/>
      <c r="E4545" s="7"/>
      <c r="F4545" s="7"/>
      <c r="G4545" s="7"/>
      <c r="H4545" s="7"/>
      <c r="I4545" s="7"/>
      <c r="J4545" s="7"/>
      <c r="K4545" s="7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</row>
    <row r="4546">
      <c r="A4546" s="7"/>
      <c r="B4546" s="7"/>
      <c r="C4546" s="7"/>
      <c r="D4546" s="7"/>
      <c r="E4546" s="7"/>
      <c r="F4546" s="7"/>
      <c r="G4546" s="7"/>
      <c r="H4546" s="7"/>
      <c r="I4546" s="7"/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</row>
    <row r="4547">
      <c r="A4547" s="7"/>
      <c r="B4547" s="7"/>
      <c r="C4547" s="7"/>
      <c r="D4547" s="7"/>
      <c r="E4547" s="7"/>
      <c r="F4547" s="7"/>
      <c r="G4547" s="7"/>
      <c r="H4547" s="7"/>
      <c r="I4547" s="7"/>
      <c r="J4547" s="7"/>
      <c r="K4547" s="7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</row>
    <row r="4548">
      <c r="A4548" s="7"/>
      <c r="B4548" s="7"/>
      <c r="C4548" s="7"/>
      <c r="D4548" s="7"/>
      <c r="E4548" s="7"/>
      <c r="F4548" s="7"/>
      <c r="G4548" s="7"/>
      <c r="H4548" s="7"/>
      <c r="I4548" s="7"/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</row>
    <row r="4549">
      <c r="A4549" s="7"/>
      <c r="B4549" s="7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</row>
    <row r="4550">
      <c r="A4550" s="7"/>
      <c r="B4550" s="7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</row>
    <row r="4551">
      <c r="A4551" s="7"/>
      <c r="B4551" s="7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</row>
    <row r="4552">
      <c r="A4552" s="7"/>
      <c r="B4552" s="7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</row>
    <row r="4553">
      <c r="A4553" s="7"/>
      <c r="B4553" s="7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</row>
    <row r="4554">
      <c r="A4554" s="7"/>
      <c r="B4554" s="7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</row>
    <row r="4555">
      <c r="A4555" s="7"/>
      <c r="B4555" s="7"/>
      <c r="C4555" s="7"/>
      <c r="D4555" s="7"/>
      <c r="E4555" s="7"/>
      <c r="F4555" s="7"/>
      <c r="G4555" s="7"/>
      <c r="H4555" s="7"/>
      <c r="I4555" s="7"/>
      <c r="J4555" s="7"/>
      <c r="K4555" s="7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</row>
    <row r="4556">
      <c r="A4556" s="7"/>
      <c r="B4556" s="7"/>
      <c r="C4556" s="7"/>
      <c r="D4556" s="7"/>
      <c r="E4556" s="7"/>
      <c r="F4556" s="7"/>
      <c r="G4556" s="7"/>
      <c r="H4556" s="7"/>
      <c r="I4556" s="7"/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</row>
    <row r="4557">
      <c r="A4557" s="7"/>
      <c r="B4557" s="7"/>
      <c r="C4557" s="7"/>
      <c r="D4557" s="7"/>
      <c r="E4557" s="7"/>
      <c r="F4557" s="7"/>
      <c r="G4557" s="7"/>
      <c r="H4557" s="7"/>
      <c r="I4557" s="7"/>
      <c r="J4557" s="7"/>
      <c r="K4557" s="7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</row>
    <row r="4558">
      <c r="A4558" s="7"/>
      <c r="B4558" s="7"/>
      <c r="C4558" s="7"/>
      <c r="D4558" s="7"/>
      <c r="E4558" s="7"/>
      <c r="F4558" s="7"/>
      <c r="G4558" s="7"/>
      <c r="H4558" s="7"/>
      <c r="I4558" s="7"/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</row>
    <row r="4559">
      <c r="A4559" s="7"/>
      <c r="B4559" s="7"/>
      <c r="C4559" s="7"/>
      <c r="D4559" s="7"/>
      <c r="E4559" s="7"/>
      <c r="F4559" s="7"/>
      <c r="G4559" s="7"/>
      <c r="H4559" s="7"/>
      <c r="I4559" s="7"/>
      <c r="J4559" s="7"/>
      <c r="K4559" s="7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</row>
    <row r="4560">
      <c r="A4560" s="7"/>
      <c r="B4560" s="7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</row>
    <row r="4561">
      <c r="A4561" s="7"/>
      <c r="B4561" s="7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</row>
    <row r="4562">
      <c r="A4562" s="7"/>
      <c r="B4562" s="7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</row>
    <row r="4563">
      <c r="A4563" s="7"/>
      <c r="B4563" s="7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</row>
    <row r="4564">
      <c r="A4564" s="7"/>
      <c r="B4564" s="7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</row>
    <row r="4565">
      <c r="A4565" s="7"/>
      <c r="B4565" s="7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</row>
    <row r="4566">
      <c r="A4566" s="7"/>
      <c r="B4566" s="7"/>
      <c r="C4566" s="7"/>
      <c r="D4566" s="7"/>
      <c r="E4566" s="7"/>
      <c r="F4566" s="7"/>
      <c r="G4566" s="7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</row>
    <row r="4567">
      <c r="A4567" s="7"/>
      <c r="B4567" s="7"/>
      <c r="C4567" s="7"/>
      <c r="D4567" s="7"/>
      <c r="E4567" s="7"/>
      <c r="F4567" s="7"/>
      <c r="G4567" s="7"/>
      <c r="H4567" s="7"/>
      <c r="I4567" s="7"/>
      <c r="J4567" s="7"/>
      <c r="K4567" s="7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</row>
    <row r="4568">
      <c r="A4568" s="7"/>
      <c r="B4568" s="7"/>
      <c r="C4568" s="7"/>
      <c r="D4568" s="7"/>
      <c r="E4568" s="7"/>
      <c r="F4568" s="7"/>
      <c r="G4568" s="7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</row>
    <row r="4569">
      <c r="A4569" s="7"/>
      <c r="B4569" s="7"/>
      <c r="C4569" s="7"/>
      <c r="D4569" s="7"/>
      <c r="E4569" s="7"/>
      <c r="F4569" s="7"/>
      <c r="G4569" s="7"/>
      <c r="H4569" s="7"/>
      <c r="I4569" s="7"/>
      <c r="J4569" s="7"/>
      <c r="K4569" s="7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</row>
    <row r="4570">
      <c r="A4570" s="7"/>
      <c r="B4570" s="7"/>
      <c r="C4570" s="7"/>
      <c r="D4570" s="7"/>
      <c r="E4570" s="7"/>
      <c r="F4570" s="7"/>
      <c r="G4570" s="7"/>
      <c r="H4570" s="7"/>
      <c r="I4570" s="7"/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</row>
    <row r="4571">
      <c r="A4571" s="7"/>
      <c r="B4571" s="7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</row>
    <row r="4572">
      <c r="A4572" s="7"/>
      <c r="B4572" s="7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</row>
    <row r="4573">
      <c r="A4573" s="7"/>
      <c r="B4573" s="7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</row>
    <row r="4574">
      <c r="A4574" s="7"/>
      <c r="B4574" s="7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</row>
    <row r="4575">
      <c r="A4575" s="7"/>
      <c r="B4575" s="7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</row>
    <row r="4576">
      <c r="A4576" s="7"/>
      <c r="B4576" s="7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</row>
    <row r="4577">
      <c r="A4577" s="7"/>
      <c r="B4577" s="7"/>
      <c r="C4577" s="7"/>
      <c r="D4577" s="7"/>
      <c r="E4577" s="7"/>
      <c r="F4577" s="7"/>
      <c r="G4577" s="7"/>
      <c r="H4577" s="7"/>
      <c r="I4577" s="7"/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</row>
    <row r="4578">
      <c r="A4578" s="7"/>
      <c r="B4578" s="7"/>
      <c r="C4578" s="7"/>
      <c r="D4578" s="7"/>
      <c r="E4578" s="7"/>
      <c r="F4578" s="7"/>
      <c r="G4578" s="7"/>
      <c r="H4578" s="7"/>
      <c r="I4578" s="7"/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</row>
    <row r="4579">
      <c r="A4579" s="7"/>
      <c r="B4579" s="7"/>
      <c r="C4579" s="7"/>
      <c r="D4579" s="7"/>
      <c r="E4579" s="7"/>
      <c r="F4579" s="7"/>
      <c r="G4579" s="7"/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</row>
    <row r="4580">
      <c r="A4580" s="7"/>
      <c r="B4580" s="7"/>
      <c r="C4580" s="7"/>
      <c r="D4580" s="7"/>
      <c r="E4580" s="7"/>
      <c r="F4580" s="7"/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</row>
    <row r="4581">
      <c r="A4581" s="7"/>
      <c r="B4581" s="7"/>
      <c r="C4581" s="7"/>
      <c r="D4581" s="7"/>
      <c r="E4581" s="7"/>
      <c r="F4581" s="7"/>
      <c r="G4581" s="7"/>
      <c r="H4581" s="7"/>
      <c r="I4581" s="7"/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</row>
    <row r="4582">
      <c r="A4582" s="7"/>
      <c r="B4582" s="7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</row>
    <row r="4583">
      <c r="A4583" s="7"/>
      <c r="B4583" s="7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</row>
    <row r="4584">
      <c r="A4584" s="7"/>
      <c r="B4584" s="7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</row>
    <row r="4585">
      <c r="A4585" s="7"/>
      <c r="B4585" s="7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</row>
    <row r="4586">
      <c r="A4586" s="7"/>
      <c r="B4586" s="7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</row>
    <row r="4587">
      <c r="A4587" s="7"/>
      <c r="B4587" s="7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</row>
    <row r="4588">
      <c r="A4588" s="7"/>
      <c r="B4588" s="7"/>
      <c r="C4588" s="7"/>
      <c r="D4588" s="7"/>
      <c r="E4588" s="7"/>
      <c r="F4588" s="7"/>
      <c r="G4588" s="7"/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</row>
    <row r="4589">
      <c r="A4589" s="7"/>
      <c r="B4589" s="7"/>
      <c r="C4589" s="7"/>
      <c r="D4589" s="7"/>
      <c r="E4589" s="7"/>
      <c r="F4589" s="7"/>
      <c r="G4589" s="7"/>
      <c r="H4589" s="7"/>
      <c r="I4589" s="7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</row>
    <row r="4590">
      <c r="A4590" s="7"/>
      <c r="B4590" s="7"/>
      <c r="C4590" s="7"/>
      <c r="D4590" s="7"/>
      <c r="E4590" s="7"/>
      <c r="F4590" s="7"/>
      <c r="G4590" s="7"/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</row>
    <row r="4591">
      <c r="A4591" s="7"/>
      <c r="B4591" s="7"/>
      <c r="C4591" s="7"/>
      <c r="D4591" s="7"/>
      <c r="E4591" s="7"/>
      <c r="F4591" s="7"/>
      <c r="G4591" s="7"/>
      <c r="H4591" s="7"/>
      <c r="I4591" s="7"/>
      <c r="J4591" s="7"/>
      <c r="K4591" s="7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</row>
    <row r="4592">
      <c r="A4592" s="7"/>
      <c r="B4592" s="7"/>
      <c r="C4592" s="7"/>
      <c r="D4592" s="7"/>
      <c r="E4592" s="7"/>
      <c r="F4592" s="7"/>
      <c r="G4592" s="7"/>
      <c r="H4592" s="7"/>
      <c r="I4592" s="7"/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</row>
    <row r="4593">
      <c r="A4593" s="7"/>
      <c r="B4593" s="7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</row>
    <row r="4594">
      <c r="A4594" s="7"/>
      <c r="B4594" s="7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</row>
    <row r="4595">
      <c r="A4595" s="7"/>
      <c r="B4595" s="7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</row>
    <row r="4596">
      <c r="A4596" s="7"/>
      <c r="B4596" s="7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</row>
    <row r="4597">
      <c r="A4597" s="7"/>
      <c r="B4597" s="7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</row>
    <row r="4598">
      <c r="A4598" s="7"/>
      <c r="B4598" s="7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</row>
    <row r="4599">
      <c r="A4599" s="7"/>
      <c r="B4599" s="7"/>
      <c r="C4599" s="7"/>
      <c r="D4599" s="7"/>
      <c r="E4599" s="7"/>
      <c r="F4599" s="7"/>
      <c r="G4599" s="7"/>
      <c r="H4599" s="7"/>
      <c r="I4599" s="7"/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</row>
    <row r="4600">
      <c r="A4600" s="7"/>
      <c r="B4600" s="7"/>
      <c r="C4600" s="7"/>
      <c r="D4600" s="7"/>
      <c r="E4600" s="7"/>
      <c r="F4600" s="7"/>
      <c r="G4600" s="7"/>
      <c r="H4600" s="7"/>
      <c r="I4600" s="7"/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</row>
    <row r="4601">
      <c r="A4601" s="7"/>
      <c r="B4601" s="7"/>
      <c r="C4601" s="7"/>
      <c r="D4601" s="7"/>
      <c r="E4601" s="7"/>
      <c r="F4601" s="7"/>
      <c r="G4601" s="7"/>
      <c r="H4601" s="7"/>
      <c r="I4601" s="7"/>
      <c r="J4601" s="7"/>
      <c r="K4601" s="7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</row>
    <row r="4602">
      <c r="A4602" s="7"/>
      <c r="B4602" s="7"/>
      <c r="C4602" s="7"/>
      <c r="D4602" s="7"/>
      <c r="E4602" s="7"/>
      <c r="F4602" s="7"/>
      <c r="G4602" s="7"/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</row>
    <row r="4603">
      <c r="A4603" s="7"/>
      <c r="B4603" s="7"/>
      <c r="C4603" s="7"/>
      <c r="D4603" s="7"/>
      <c r="E4603" s="7"/>
      <c r="F4603" s="7"/>
      <c r="G4603" s="7"/>
      <c r="H4603" s="7"/>
      <c r="I4603" s="7"/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</row>
    <row r="4604">
      <c r="A4604" s="7"/>
      <c r="B4604" s="7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</row>
    <row r="4605">
      <c r="A4605" s="7"/>
      <c r="B4605" s="7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</row>
    <row r="4606">
      <c r="A4606" s="7"/>
      <c r="B4606" s="7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</row>
    <row r="4607">
      <c r="A4607" s="7"/>
      <c r="B4607" s="7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</row>
    <row r="4608">
      <c r="A4608" s="7"/>
      <c r="B4608" s="7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</row>
    <row r="4609">
      <c r="A4609" s="7"/>
      <c r="B4609" s="7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</row>
    <row r="4610">
      <c r="A4610" s="7"/>
      <c r="B4610" s="7"/>
      <c r="C4610" s="7"/>
      <c r="D4610" s="7"/>
      <c r="E4610" s="7"/>
      <c r="F4610" s="7"/>
      <c r="G4610" s="7"/>
      <c r="H4610" s="7"/>
      <c r="I4610" s="7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</row>
    <row r="4611">
      <c r="A4611" s="7"/>
      <c r="B4611" s="7"/>
      <c r="C4611" s="7"/>
      <c r="D4611" s="7"/>
      <c r="E4611" s="7"/>
      <c r="F4611" s="7"/>
      <c r="G4611" s="7"/>
      <c r="H4611" s="7"/>
      <c r="I4611" s="7"/>
      <c r="J4611" s="7"/>
      <c r="K4611" s="7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</row>
    <row r="4612">
      <c r="A4612" s="7"/>
      <c r="B4612" s="7"/>
      <c r="C4612" s="7"/>
      <c r="D4612" s="7"/>
      <c r="E4612" s="7"/>
      <c r="F4612" s="7"/>
      <c r="G4612" s="7"/>
      <c r="H4612" s="7"/>
      <c r="I4612" s="7"/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</row>
    <row r="4613">
      <c r="A4613" s="7"/>
      <c r="B4613" s="7"/>
      <c r="C4613" s="7"/>
      <c r="D4613" s="7"/>
      <c r="E4613" s="7"/>
      <c r="F4613" s="7"/>
      <c r="G4613" s="7"/>
      <c r="H4613" s="7"/>
      <c r="I4613" s="7"/>
      <c r="J4613" s="7"/>
      <c r="K4613" s="7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</row>
    <row r="4614">
      <c r="A4614" s="7"/>
      <c r="B4614" s="7"/>
      <c r="C4614" s="7"/>
      <c r="D4614" s="7"/>
      <c r="E4614" s="7"/>
      <c r="F4614" s="7"/>
      <c r="G4614" s="7"/>
      <c r="H4614" s="7"/>
      <c r="I4614" s="7"/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</row>
    <row r="4615">
      <c r="A4615" s="7"/>
      <c r="B4615" s="7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</row>
    <row r="4616">
      <c r="A4616" s="7"/>
      <c r="B4616" s="7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</row>
    <row r="4617">
      <c r="A4617" s="7"/>
      <c r="B4617" s="7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</row>
    <row r="4618">
      <c r="A4618" s="7"/>
      <c r="B4618" s="7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</row>
    <row r="4619">
      <c r="A4619" s="7"/>
      <c r="B4619" s="7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</row>
    <row r="4620">
      <c r="A4620" s="7"/>
      <c r="B4620" s="7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</row>
    <row r="4621">
      <c r="A4621" s="7"/>
      <c r="B4621" s="7"/>
      <c r="C4621" s="7"/>
      <c r="D4621" s="7"/>
      <c r="E4621" s="7"/>
      <c r="F4621" s="7"/>
      <c r="G4621" s="7"/>
      <c r="H4621" s="7"/>
      <c r="I4621" s="7"/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</row>
    <row r="4622">
      <c r="A4622" s="7"/>
      <c r="B4622" s="7"/>
      <c r="C4622" s="7"/>
      <c r="D4622" s="7"/>
      <c r="E4622" s="7"/>
      <c r="F4622" s="7"/>
      <c r="G4622" s="7"/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</row>
    <row r="4623">
      <c r="A4623" s="7"/>
      <c r="B4623" s="7"/>
      <c r="C4623" s="7"/>
      <c r="D4623" s="7"/>
      <c r="E4623" s="7"/>
      <c r="F4623" s="7"/>
      <c r="G4623" s="7"/>
      <c r="H4623" s="7"/>
      <c r="I4623" s="7"/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</row>
    <row r="4624">
      <c r="A4624" s="7"/>
      <c r="B4624" s="7"/>
      <c r="C4624" s="7"/>
      <c r="D4624" s="7"/>
      <c r="E4624" s="7"/>
      <c r="F4624" s="7"/>
      <c r="G4624" s="7"/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</row>
    <row r="4625">
      <c r="A4625" s="7"/>
      <c r="B4625" s="7"/>
      <c r="C4625" s="7"/>
      <c r="D4625" s="7"/>
      <c r="E4625" s="7"/>
      <c r="F4625" s="7"/>
      <c r="G4625" s="7"/>
      <c r="H4625" s="7"/>
      <c r="I4625" s="7"/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</row>
    <row r="4626">
      <c r="A4626" s="7"/>
      <c r="B4626" s="7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</row>
    <row r="4627">
      <c r="A4627" s="7"/>
      <c r="B4627" s="7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</row>
    <row r="4628">
      <c r="A4628" s="7"/>
      <c r="B4628" s="7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</row>
    <row r="4629">
      <c r="A4629" s="7"/>
      <c r="B4629" s="7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</row>
    <row r="4630">
      <c r="A4630" s="7"/>
      <c r="B4630" s="7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</row>
    <row r="4631">
      <c r="A4631" s="7"/>
      <c r="B4631" s="7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</row>
    <row r="4632">
      <c r="A4632" s="7"/>
      <c r="B4632" s="7"/>
      <c r="C4632" s="7"/>
      <c r="D4632" s="7"/>
      <c r="E4632" s="7"/>
      <c r="F4632" s="7"/>
      <c r="G4632" s="7"/>
      <c r="H4632" s="7"/>
      <c r="I4632" s="7"/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</row>
    <row r="4633">
      <c r="A4633" s="7"/>
      <c r="B4633" s="7"/>
      <c r="C4633" s="7"/>
      <c r="D4633" s="7"/>
      <c r="E4633" s="7"/>
      <c r="F4633" s="7"/>
      <c r="G4633" s="7"/>
      <c r="H4633" s="7"/>
      <c r="I4633" s="7"/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</row>
    <row r="4634">
      <c r="A4634" s="7"/>
      <c r="B4634" s="7"/>
      <c r="C4634" s="7"/>
      <c r="D4634" s="7"/>
      <c r="E4634" s="7"/>
      <c r="F4634" s="7"/>
      <c r="G4634" s="7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</row>
    <row r="4635">
      <c r="A4635" s="7"/>
      <c r="B4635" s="7"/>
      <c r="C4635" s="7"/>
      <c r="D4635" s="7"/>
      <c r="E4635" s="7"/>
      <c r="F4635" s="7"/>
      <c r="G4635" s="7"/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</row>
    <row r="4636">
      <c r="A4636" s="7"/>
      <c r="B4636" s="7"/>
      <c r="C4636" s="7"/>
      <c r="D4636" s="7"/>
      <c r="E4636" s="7"/>
      <c r="F4636" s="7"/>
      <c r="G4636" s="7"/>
      <c r="H4636" s="7"/>
      <c r="I4636" s="7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</row>
    <row r="4637">
      <c r="A4637" s="7"/>
      <c r="B4637" s="7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</row>
    <row r="4638">
      <c r="A4638" s="7"/>
      <c r="B4638" s="7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</row>
    <row r="4639">
      <c r="A4639" s="7"/>
      <c r="B4639" s="7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</row>
    <row r="4640">
      <c r="A4640" s="7"/>
      <c r="B4640" s="7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</row>
    <row r="4641">
      <c r="A4641" s="7"/>
      <c r="B4641" s="7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</row>
    <row r="4642">
      <c r="A4642" s="7"/>
      <c r="B4642" s="7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</row>
    <row r="4643">
      <c r="A4643" s="7"/>
      <c r="B4643" s="7"/>
      <c r="C4643" s="7"/>
      <c r="D4643" s="7"/>
      <c r="E4643" s="7"/>
      <c r="F4643" s="7"/>
      <c r="G4643" s="7"/>
      <c r="H4643" s="7"/>
      <c r="I4643" s="7"/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</row>
    <row r="4644">
      <c r="A4644" s="7"/>
      <c r="B4644" s="7"/>
      <c r="C4644" s="7"/>
      <c r="D4644" s="7"/>
      <c r="E4644" s="7"/>
      <c r="F4644" s="7"/>
      <c r="G4644" s="7"/>
      <c r="H4644" s="7"/>
      <c r="I4644" s="7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</row>
    <row r="4645">
      <c r="A4645" s="7"/>
      <c r="B4645" s="7"/>
      <c r="C4645" s="7"/>
      <c r="D4645" s="7"/>
      <c r="E4645" s="7"/>
      <c r="F4645" s="7"/>
      <c r="G4645" s="7"/>
      <c r="H4645" s="7"/>
      <c r="I4645" s="7"/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</row>
    <row r="4646">
      <c r="A4646" s="7"/>
      <c r="B4646" s="7"/>
      <c r="C4646" s="7"/>
      <c r="D4646" s="7"/>
      <c r="E4646" s="7"/>
      <c r="F4646" s="7"/>
      <c r="G4646" s="7"/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</row>
    <row r="4647">
      <c r="A4647" s="7"/>
      <c r="B4647" s="7"/>
      <c r="C4647" s="7"/>
      <c r="D4647" s="7"/>
      <c r="E4647" s="7"/>
      <c r="F4647" s="7"/>
      <c r="G4647" s="7"/>
      <c r="H4647" s="7"/>
      <c r="I4647" s="7"/>
      <c r="J4647" s="7"/>
      <c r="K4647" s="7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</row>
    <row r="4648">
      <c r="A4648" s="7"/>
      <c r="B4648" s="7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</row>
    <row r="4649">
      <c r="A4649" s="7"/>
      <c r="B4649" s="7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7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</row>
    <row r="4650">
      <c r="A4650" s="7"/>
      <c r="B4650" s="7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</row>
    <row r="4651">
      <c r="A4651" s="7"/>
      <c r="B4651" s="7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7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</row>
    <row r="4652">
      <c r="A4652" s="7"/>
      <c r="B4652" s="7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</row>
    <row r="4653">
      <c r="A4653" s="7"/>
      <c r="B4653" s="7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7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</row>
    <row r="4654">
      <c r="A4654" s="7"/>
      <c r="B4654" s="7"/>
      <c r="C4654" s="7"/>
      <c r="D4654" s="7"/>
      <c r="E4654" s="7"/>
      <c r="F4654" s="7"/>
      <c r="G4654" s="7"/>
      <c r="H4654" s="7"/>
      <c r="I4654" s="7"/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</row>
    <row r="4655">
      <c r="A4655" s="7"/>
      <c r="B4655" s="7"/>
      <c r="C4655" s="7"/>
      <c r="D4655" s="7"/>
      <c r="E4655" s="7"/>
      <c r="F4655" s="7"/>
      <c r="G4655" s="7"/>
      <c r="H4655" s="7"/>
      <c r="I4655" s="7"/>
      <c r="J4655" s="7"/>
      <c r="K4655" s="7"/>
      <c r="L4655" s="7"/>
      <c r="M4655" s="7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</row>
    <row r="4656">
      <c r="A4656" s="7"/>
      <c r="B4656" s="7"/>
      <c r="C4656" s="7"/>
      <c r="D4656" s="7"/>
      <c r="E4656" s="7"/>
      <c r="F4656" s="7"/>
      <c r="G4656" s="7"/>
      <c r="H4656" s="7"/>
      <c r="I4656" s="7"/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</row>
    <row r="4657">
      <c r="A4657" s="7"/>
      <c r="B4657" s="7"/>
      <c r="C4657" s="7"/>
      <c r="D4657" s="7"/>
      <c r="E4657" s="7"/>
      <c r="F4657" s="7"/>
      <c r="G4657" s="7"/>
      <c r="H4657" s="7"/>
      <c r="I4657" s="7"/>
      <c r="J4657" s="7"/>
      <c r="K4657" s="7"/>
      <c r="L4657" s="7"/>
      <c r="M4657" s="7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</row>
    <row r="4658">
      <c r="A4658" s="7"/>
      <c r="B4658" s="7"/>
      <c r="C4658" s="7"/>
      <c r="D4658" s="7"/>
      <c r="E4658" s="7"/>
      <c r="F4658" s="7"/>
      <c r="G4658" s="7"/>
      <c r="H4658" s="7"/>
      <c r="I4658" s="7"/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</row>
    <row r="4659">
      <c r="A4659" s="7"/>
      <c r="B4659" s="7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7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</row>
    <row r="4660">
      <c r="A4660" s="7"/>
      <c r="B4660" s="7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</row>
    <row r="4661">
      <c r="A4661" s="7"/>
      <c r="B4661" s="7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</row>
    <row r="4662">
      <c r="A4662" s="7"/>
      <c r="B4662" s="7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</row>
    <row r="4663">
      <c r="A4663" s="7"/>
      <c r="B4663" s="7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</row>
    <row r="4664">
      <c r="A4664" s="7"/>
      <c r="B4664" s="7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</row>
    <row r="4665">
      <c r="A4665" s="7"/>
      <c r="B4665" s="7"/>
      <c r="C4665" s="7"/>
      <c r="D4665" s="7"/>
      <c r="E4665" s="7"/>
      <c r="F4665" s="7"/>
      <c r="G4665" s="7"/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</row>
    <row r="4666">
      <c r="A4666" s="7"/>
      <c r="B4666" s="7"/>
      <c r="C4666" s="7"/>
      <c r="D4666" s="7"/>
      <c r="E4666" s="7"/>
      <c r="F4666" s="7"/>
      <c r="G4666" s="7"/>
      <c r="H4666" s="7"/>
      <c r="I4666" s="7"/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</row>
    <row r="4667">
      <c r="A4667" s="7"/>
      <c r="B4667" s="7"/>
      <c r="C4667" s="7"/>
      <c r="D4667" s="7"/>
      <c r="E4667" s="7"/>
      <c r="F4667" s="7"/>
      <c r="G4667" s="7"/>
      <c r="H4667" s="7"/>
      <c r="I4667" s="7"/>
      <c r="J4667" s="7"/>
      <c r="K4667" s="7"/>
      <c r="L4667" s="7"/>
      <c r="M4667" s="7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</row>
    <row r="4668">
      <c r="A4668" s="7"/>
      <c r="B4668" s="7"/>
      <c r="C4668" s="7"/>
      <c r="D4668" s="7"/>
      <c r="E4668" s="7"/>
      <c r="F4668" s="7"/>
      <c r="G4668" s="7"/>
      <c r="H4668" s="7"/>
      <c r="I4668" s="7"/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</row>
    <row r="4669">
      <c r="A4669" s="7"/>
      <c r="B4669" s="7"/>
      <c r="C4669" s="7"/>
      <c r="D4669" s="7"/>
      <c r="E4669" s="7"/>
      <c r="F4669" s="7"/>
      <c r="G4669" s="7"/>
      <c r="H4669" s="7"/>
      <c r="I4669" s="7"/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</row>
    <row r="4670">
      <c r="A4670" s="7"/>
      <c r="B4670" s="7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</row>
    <row r="4671">
      <c r="A4671" s="7"/>
      <c r="B4671" s="7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7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</row>
    <row r="4672">
      <c r="A4672" s="7"/>
      <c r="B4672" s="7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</row>
    <row r="4673">
      <c r="A4673" s="7"/>
      <c r="B4673" s="7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7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</row>
    <row r="4674">
      <c r="A4674" s="7"/>
      <c r="B4674" s="7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</row>
    <row r="4675">
      <c r="A4675" s="7"/>
      <c r="B4675" s="7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7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</row>
    <row r="4676">
      <c r="A4676" s="7"/>
      <c r="B4676" s="7"/>
      <c r="C4676" s="7"/>
      <c r="D4676" s="7"/>
      <c r="E4676" s="7"/>
      <c r="F4676" s="7"/>
      <c r="G4676" s="7"/>
      <c r="H4676" s="7"/>
      <c r="I4676" s="7"/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</row>
    <row r="4677">
      <c r="A4677" s="7"/>
      <c r="B4677" s="7"/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</row>
    <row r="4678">
      <c r="A4678" s="7"/>
      <c r="B4678" s="7"/>
      <c r="C4678" s="7"/>
      <c r="D4678" s="7"/>
      <c r="E4678" s="7"/>
      <c r="F4678" s="7"/>
      <c r="G4678" s="7"/>
      <c r="H4678" s="7"/>
      <c r="I4678" s="7"/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</row>
    <row r="4679">
      <c r="A4679" s="7"/>
      <c r="B4679" s="7"/>
      <c r="C4679" s="7"/>
      <c r="D4679" s="7"/>
      <c r="E4679" s="7"/>
      <c r="F4679" s="7"/>
      <c r="G4679" s="7"/>
      <c r="H4679" s="7"/>
      <c r="I4679" s="7"/>
      <c r="J4679" s="7"/>
      <c r="K4679" s="7"/>
      <c r="L4679" s="7"/>
      <c r="M4679" s="7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</row>
    <row r="4680">
      <c r="A4680" s="7"/>
      <c r="B4680" s="7"/>
      <c r="C4680" s="7"/>
      <c r="D4680" s="7"/>
      <c r="E4680" s="7"/>
      <c r="F4680" s="7"/>
      <c r="G4680" s="7"/>
      <c r="H4680" s="7"/>
      <c r="I4680" s="7"/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</row>
    <row r="4681">
      <c r="A4681" s="7"/>
      <c r="B4681" s="7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7"/>
      <c r="N4681" s="7"/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</row>
    <row r="4682">
      <c r="A4682" s="7"/>
      <c r="B4682" s="7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7"/>
      <c r="N4682" s="7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</row>
    <row r="4683">
      <c r="A4683" s="7"/>
      <c r="B4683" s="7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7"/>
      <c r="N4683" s="7"/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</row>
    <row r="4684">
      <c r="A4684" s="7"/>
      <c r="B4684" s="7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7"/>
      <c r="N4684" s="7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</row>
    <row r="4685">
      <c r="A4685" s="7"/>
      <c r="B4685" s="7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7"/>
      <c r="N4685" s="7"/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</row>
    <row r="4686">
      <c r="A4686" s="7"/>
      <c r="B4686" s="7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7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</row>
    <row r="4687">
      <c r="A4687" s="7"/>
      <c r="B4687" s="7"/>
      <c r="C4687" s="7"/>
      <c r="D4687" s="7"/>
      <c r="E4687" s="7"/>
      <c r="F4687" s="7"/>
      <c r="G4687" s="7"/>
      <c r="H4687" s="7"/>
      <c r="I4687" s="7"/>
      <c r="J4687" s="7"/>
      <c r="K4687" s="7"/>
      <c r="L4687" s="7"/>
      <c r="M4687" s="7"/>
      <c r="N4687" s="7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</row>
    <row r="4688">
      <c r="A4688" s="7"/>
      <c r="B4688" s="7"/>
      <c r="C4688" s="7"/>
      <c r="D4688" s="7"/>
      <c r="E4688" s="7"/>
      <c r="F4688" s="7"/>
      <c r="G4688" s="7"/>
      <c r="H4688" s="7"/>
      <c r="I4688" s="7"/>
      <c r="J4688" s="7"/>
      <c r="K4688" s="7"/>
      <c r="L4688" s="7"/>
      <c r="M4688" s="7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</row>
    <row r="4689">
      <c r="A4689" s="7"/>
      <c r="B4689" s="7"/>
      <c r="C4689" s="7"/>
      <c r="D4689" s="7"/>
      <c r="E4689" s="7"/>
      <c r="F4689" s="7"/>
      <c r="G4689" s="7"/>
      <c r="H4689" s="7"/>
      <c r="I4689" s="7"/>
      <c r="J4689" s="7"/>
      <c r="K4689" s="7"/>
      <c r="L4689" s="7"/>
      <c r="M4689" s="7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</row>
    <row r="4690">
      <c r="A4690" s="7"/>
      <c r="B4690" s="7"/>
      <c r="C4690" s="7"/>
      <c r="D4690" s="7"/>
      <c r="E4690" s="7"/>
      <c r="F4690" s="7"/>
      <c r="G4690" s="7"/>
      <c r="H4690" s="7"/>
      <c r="I4690" s="7"/>
      <c r="J4690" s="7"/>
      <c r="K4690" s="7"/>
      <c r="L4690" s="7"/>
      <c r="M4690" s="7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</row>
    <row r="4691">
      <c r="A4691" s="7"/>
      <c r="B4691" s="7"/>
      <c r="C4691" s="7"/>
      <c r="D4691" s="7"/>
      <c r="E4691" s="7"/>
      <c r="F4691" s="7"/>
      <c r="G4691" s="7"/>
      <c r="H4691" s="7"/>
      <c r="I4691" s="7"/>
      <c r="J4691" s="7"/>
      <c r="K4691" s="7"/>
      <c r="L4691" s="7"/>
      <c r="M4691" s="7"/>
      <c r="N4691" s="7"/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</row>
    <row r="4692">
      <c r="A4692" s="7"/>
      <c r="B4692" s="7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7"/>
      <c r="N4692" s="7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</row>
    <row r="4693">
      <c r="A4693" s="7"/>
      <c r="B4693" s="7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7"/>
      <c r="N4693" s="7"/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</row>
    <row r="4694">
      <c r="A4694" s="7"/>
      <c r="B4694" s="7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7"/>
      <c r="N4694" s="7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</row>
    <row r="4695">
      <c r="A4695" s="7"/>
      <c r="B4695" s="7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7"/>
      <c r="N4695" s="7"/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</row>
    <row r="4696">
      <c r="A4696" s="7"/>
      <c r="B4696" s="7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7"/>
      <c r="N4696" s="7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</row>
    <row r="4697">
      <c r="A4697" s="7"/>
      <c r="B4697" s="7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7"/>
      <c r="N4697" s="7"/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</row>
    <row r="4698">
      <c r="A4698" s="7"/>
      <c r="B4698" s="7"/>
      <c r="C4698" s="7"/>
      <c r="D4698" s="7"/>
      <c r="E4698" s="7"/>
      <c r="F4698" s="7"/>
      <c r="G4698" s="7"/>
      <c r="H4698" s="7"/>
      <c r="I4698" s="7"/>
      <c r="J4698" s="7"/>
      <c r="K4698" s="7"/>
      <c r="L4698" s="7"/>
      <c r="M4698" s="7"/>
      <c r="N4698" s="7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</row>
    <row r="4699">
      <c r="A4699" s="7"/>
      <c r="B4699" s="7"/>
      <c r="C4699" s="7"/>
      <c r="D4699" s="7"/>
      <c r="E4699" s="7"/>
      <c r="F4699" s="7"/>
      <c r="G4699" s="7"/>
      <c r="H4699" s="7"/>
      <c r="I4699" s="7"/>
      <c r="J4699" s="7"/>
      <c r="K4699" s="7"/>
      <c r="L4699" s="7"/>
      <c r="M4699" s="7"/>
      <c r="N4699" s="7"/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</row>
    <row r="4700">
      <c r="A4700" s="7"/>
      <c r="B4700" s="7"/>
      <c r="C4700" s="7"/>
      <c r="D4700" s="7"/>
      <c r="E4700" s="7"/>
      <c r="F4700" s="7"/>
      <c r="G4700" s="7"/>
      <c r="H4700" s="7"/>
      <c r="I4700" s="7"/>
      <c r="J4700" s="7"/>
      <c r="K4700" s="7"/>
      <c r="L4700" s="7"/>
      <c r="M4700" s="7"/>
      <c r="N4700" s="7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</row>
    <row r="4701">
      <c r="A4701" s="7"/>
      <c r="B4701" s="7"/>
      <c r="C4701" s="7"/>
      <c r="D4701" s="7"/>
      <c r="E4701" s="7"/>
      <c r="F4701" s="7"/>
      <c r="G4701" s="7"/>
      <c r="H4701" s="7"/>
      <c r="I4701" s="7"/>
      <c r="J4701" s="7"/>
      <c r="K4701" s="7"/>
      <c r="L4701" s="7"/>
      <c r="M4701" s="7"/>
      <c r="N4701" s="7"/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</row>
    <row r="4702">
      <c r="A4702" s="7"/>
      <c r="B4702" s="7"/>
      <c r="C4702" s="7"/>
      <c r="D4702" s="7"/>
      <c r="E4702" s="7"/>
      <c r="F4702" s="7"/>
      <c r="G4702" s="7"/>
      <c r="H4702" s="7"/>
      <c r="I4702" s="7"/>
      <c r="J4702" s="7"/>
      <c r="K4702" s="7"/>
      <c r="L4702" s="7"/>
      <c r="M4702" s="7"/>
      <c r="N4702" s="7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</row>
    <row r="4703">
      <c r="A4703" s="7"/>
      <c r="B4703" s="7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7"/>
      <c r="N4703" s="7"/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</row>
    <row r="4704">
      <c r="A4704" s="7"/>
      <c r="B4704" s="7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7"/>
      <c r="N4704" s="7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</row>
    <row r="4705">
      <c r="A4705" s="7"/>
      <c r="B4705" s="7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7"/>
      <c r="N4705" s="7"/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</row>
    <row r="4706">
      <c r="A4706" s="7"/>
      <c r="B4706" s="7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7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</row>
    <row r="4707">
      <c r="A4707" s="7"/>
      <c r="B4707" s="7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7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</row>
    <row r="4708">
      <c r="A4708" s="7"/>
      <c r="B4708" s="7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7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</row>
    <row r="4709">
      <c r="A4709" s="7"/>
      <c r="B4709" s="7"/>
      <c r="C4709" s="7"/>
      <c r="D4709" s="7"/>
      <c r="E4709" s="7"/>
      <c r="F4709" s="7"/>
      <c r="G4709" s="7"/>
      <c r="H4709" s="7"/>
      <c r="I4709" s="7"/>
      <c r="J4709" s="7"/>
      <c r="K4709" s="7"/>
      <c r="L4709" s="7"/>
      <c r="M4709" s="7"/>
      <c r="N4709" s="7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</row>
    <row r="4710">
      <c r="A4710" s="7"/>
      <c r="B4710" s="7"/>
      <c r="C4710" s="7"/>
      <c r="D4710" s="7"/>
      <c r="E4710" s="7"/>
      <c r="F4710" s="7"/>
      <c r="G4710" s="7"/>
      <c r="H4710" s="7"/>
      <c r="I4710" s="7"/>
      <c r="J4710" s="7"/>
      <c r="K4710" s="7"/>
      <c r="L4710" s="7"/>
      <c r="M4710" s="7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</row>
    <row r="4711">
      <c r="A4711" s="7"/>
      <c r="B4711" s="7"/>
      <c r="C4711" s="7"/>
      <c r="D4711" s="7"/>
      <c r="E4711" s="7"/>
      <c r="F4711" s="7"/>
      <c r="G4711" s="7"/>
      <c r="H4711" s="7"/>
      <c r="I4711" s="7"/>
      <c r="J4711" s="7"/>
      <c r="K4711" s="7"/>
      <c r="L4711" s="7"/>
      <c r="M4711" s="7"/>
      <c r="N4711" s="7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</row>
    <row r="4712">
      <c r="A4712" s="7"/>
      <c r="B4712" s="7"/>
      <c r="C4712" s="7"/>
      <c r="D4712" s="7"/>
      <c r="E4712" s="7"/>
      <c r="F4712" s="7"/>
      <c r="G4712" s="7"/>
      <c r="H4712" s="7"/>
      <c r="I4712" s="7"/>
      <c r="J4712" s="7"/>
      <c r="K4712" s="7"/>
      <c r="L4712" s="7"/>
      <c r="M4712" s="7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</row>
    <row r="4713">
      <c r="A4713" s="7"/>
      <c r="B4713" s="7"/>
      <c r="C4713" s="7"/>
      <c r="D4713" s="7"/>
      <c r="E4713" s="7"/>
      <c r="F4713" s="7"/>
      <c r="G4713" s="7"/>
      <c r="H4713" s="7"/>
      <c r="I4713" s="7"/>
      <c r="J4713" s="7"/>
      <c r="K4713" s="7"/>
      <c r="L4713" s="7"/>
      <c r="M4713" s="7"/>
      <c r="N4713" s="7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</row>
    <row r="4714">
      <c r="A4714" s="7"/>
      <c r="B4714" s="7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7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</row>
    <row r="4715">
      <c r="A4715" s="7"/>
      <c r="B4715" s="7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7"/>
      <c r="N4715" s="7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</row>
    <row r="4716">
      <c r="A4716" s="7"/>
      <c r="B4716" s="7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7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</row>
    <row r="4717">
      <c r="A4717" s="7"/>
      <c r="B4717" s="7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7"/>
      <c r="N4717" s="7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</row>
    <row r="4718">
      <c r="A4718" s="7"/>
      <c r="B4718" s="7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7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</row>
    <row r="4719">
      <c r="A4719" s="7"/>
      <c r="B4719" s="7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7"/>
      <c r="N4719" s="7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</row>
    <row r="4720">
      <c r="A4720" s="7"/>
      <c r="B4720" s="7"/>
      <c r="C4720" s="7"/>
      <c r="D4720" s="7"/>
      <c r="E4720" s="7"/>
      <c r="F4720" s="7"/>
      <c r="G4720" s="7"/>
      <c r="H4720" s="7"/>
      <c r="I4720" s="7"/>
      <c r="J4720" s="7"/>
      <c r="K4720" s="7"/>
      <c r="L4720" s="7"/>
      <c r="M4720" s="7"/>
      <c r="N4720" s="7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</row>
    <row r="4721">
      <c r="A4721" s="7"/>
      <c r="B4721" s="7"/>
      <c r="C4721" s="7"/>
      <c r="D4721" s="7"/>
      <c r="E4721" s="7"/>
      <c r="F4721" s="7"/>
      <c r="G4721" s="7"/>
      <c r="H4721" s="7"/>
      <c r="I4721" s="7"/>
      <c r="J4721" s="7"/>
      <c r="K4721" s="7"/>
      <c r="L4721" s="7"/>
      <c r="M4721" s="7"/>
      <c r="N4721" s="7"/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7"/>
      <c r="Z4721" s="7"/>
    </row>
    <row r="4722">
      <c r="A4722" s="7"/>
      <c r="B4722" s="7"/>
      <c r="C4722" s="7"/>
      <c r="D4722" s="7"/>
      <c r="E4722" s="7"/>
      <c r="F4722" s="7"/>
      <c r="G4722" s="7"/>
      <c r="H4722" s="7"/>
      <c r="I4722" s="7"/>
      <c r="J4722" s="7"/>
      <c r="K4722" s="7"/>
      <c r="L4722" s="7"/>
      <c r="M4722" s="7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</row>
    <row r="4723">
      <c r="A4723" s="7"/>
      <c r="B4723" s="7"/>
      <c r="C4723" s="7"/>
      <c r="D4723" s="7"/>
      <c r="E4723" s="7"/>
      <c r="F4723" s="7"/>
      <c r="G4723" s="7"/>
      <c r="H4723" s="7"/>
      <c r="I4723" s="7"/>
      <c r="J4723" s="7"/>
      <c r="K4723" s="7"/>
      <c r="L4723" s="7"/>
      <c r="M4723" s="7"/>
      <c r="N4723" s="7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</row>
    <row r="4724">
      <c r="A4724" s="7"/>
      <c r="B4724" s="7"/>
      <c r="C4724" s="7"/>
      <c r="D4724" s="7"/>
      <c r="E4724" s="7"/>
      <c r="F4724" s="7"/>
      <c r="G4724" s="7"/>
      <c r="H4724" s="7"/>
      <c r="I4724" s="7"/>
      <c r="J4724" s="7"/>
      <c r="K4724" s="7"/>
      <c r="L4724" s="7"/>
      <c r="M4724" s="7"/>
      <c r="N4724" s="7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</row>
    <row r="4725">
      <c r="A4725" s="7"/>
      <c r="B4725" s="7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7"/>
      <c r="N4725" s="7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</row>
    <row r="4726">
      <c r="A4726" s="7"/>
      <c r="B4726" s="7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7"/>
      <c r="N4726" s="7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</row>
    <row r="4727">
      <c r="A4727" s="7"/>
      <c r="B4727" s="7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7"/>
      <c r="N4727" s="7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</row>
    <row r="4728">
      <c r="A4728" s="7"/>
      <c r="B4728" s="7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7"/>
      <c r="N4728" s="7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</row>
    <row r="4729">
      <c r="A4729" s="7"/>
      <c r="B4729" s="7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7"/>
      <c r="N4729" s="7"/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7"/>
      <c r="Z4729" s="7"/>
    </row>
    <row r="4730">
      <c r="A4730" s="7"/>
      <c r="B4730" s="7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7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</row>
    <row r="4731">
      <c r="A4731" s="7"/>
      <c r="B4731" s="7"/>
      <c r="C4731" s="7"/>
      <c r="D4731" s="7"/>
      <c r="E4731" s="7"/>
      <c r="F4731" s="7"/>
      <c r="G4731" s="7"/>
      <c r="H4731" s="7"/>
      <c r="I4731" s="7"/>
      <c r="J4731" s="7"/>
      <c r="K4731" s="7"/>
      <c r="L4731" s="7"/>
      <c r="M4731" s="7"/>
      <c r="N4731" s="7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</row>
    <row r="4732">
      <c r="A4732" s="7"/>
      <c r="B4732" s="7"/>
      <c r="C4732" s="7"/>
      <c r="D4732" s="7"/>
      <c r="E4732" s="7"/>
      <c r="F4732" s="7"/>
      <c r="G4732" s="7"/>
      <c r="H4732" s="7"/>
      <c r="I4732" s="7"/>
      <c r="J4732" s="7"/>
      <c r="K4732" s="7"/>
      <c r="L4732" s="7"/>
      <c r="M4732" s="7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</row>
    <row r="4733">
      <c r="A4733" s="7"/>
      <c r="B4733" s="7"/>
      <c r="C4733" s="7"/>
      <c r="D4733" s="7"/>
      <c r="E4733" s="7"/>
      <c r="F4733" s="7"/>
      <c r="G4733" s="7"/>
      <c r="H4733" s="7"/>
      <c r="I4733" s="7"/>
      <c r="J4733" s="7"/>
      <c r="K4733" s="7"/>
      <c r="L4733" s="7"/>
      <c r="M4733" s="7"/>
      <c r="N4733" s="7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</row>
    <row r="4734">
      <c r="A4734" s="7"/>
      <c r="B4734" s="7"/>
      <c r="C4734" s="7"/>
      <c r="D4734" s="7"/>
      <c r="E4734" s="7"/>
      <c r="F4734" s="7"/>
      <c r="G4734" s="7"/>
      <c r="H4734" s="7"/>
      <c r="I4734" s="7"/>
      <c r="J4734" s="7"/>
      <c r="K4734" s="7"/>
      <c r="L4734" s="7"/>
      <c r="M4734" s="7"/>
      <c r="N4734" s="7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</row>
    <row r="4735">
      <c r="A4735" s="7"/>
      <c r="B4735" s="7"/>
      <c r="C4735" s="7"/>
      <c r="D4735" s="7"/>
      <c r="E4735" s="7"/>
      <c r="F4735" s="7"/>
      <c r="G4735" s="7"/>
      <c r="H4735" s="7"/>
      <c r="I4735" s="7"/>
      <c r="J4735" s="7"/>
      <c r="K4735" s="7"/>
      <c r="L4735" s="7"/>
      <c r="M4735" s="7"/>
      <c r="N4735" s="7"/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7"/>
      <c r="Z4735" s="7"/>
    </row>
    <row r="4736">
      <c r="A4736" s="7"/>
      <c r="B4736" s="7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7"/>
      <c r="N4736" s="7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</row>
    <row r="4737">
      <c r="A4737" s="7"/>
      <c r="B4737" s="7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7"/>
      <c r="N4737" s="7"/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7"/>
      <c r="Z4737" s="7"/>
    </row>
    <row r="4738">
      <c r="A4738" s="7"/>
      <c r="B4738" s="7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7"/>
      <c r="N4738" s="7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</row>
    <row r="4739">
      <c r="A4739" s="7"/>
      <c r="B4739" s="7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7"/>
      <c r="N4739" s="7"/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7"/>
      <c r="Z4739" s="7"/>
    </row>
    <row r="4740">
      <c r="A4740" s="7"/>
      <c r="B4740" s="7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7"/>
      <c r="N4740" s="7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</row>
    <row r="4741">
      <c r="A4741" s="7"/>
      <c r="B4741" s="7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7"/>
      <c r="N4741" s="7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</row>
    <row r="4742">
      <c r="A4742" s="7"/>
      <c r="B4742" s="7"/>
      <c r="C4742" s="7"/>
      <c r="D4742" s="7"/>
      <c r="E4742" s="7"/>
      <c r="F4742" s="7"/>
      <c r="G4742" s="7"/>
      <c r="H4742" s="7"/>
      <c r="I4742" s="7"/>
      <c r="J4742" s="7"/>
      <c r="K4742" s="7"/>
      <c r="L4742" s="7"/>
      <c r="M4742" s="7"/>
      <c r="N4742" s="7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</row>
    <row r="4743">
      <c r="A4743" s="7"/>
      <c r="B4743" s="7"/>
      <c r="C4743" s="7"/>
      <c r="D4743" s="7"/>
      <c r="E4743" s="7"/>
      <c r="F4743" s="7"/>
      <c r="G4743" s="7"/>
      <c r="H4743" s="7"/>
      <c r="I4743" s="7"/>
      <c r="J4743" s="7"/>
      <c r="K4743" s="7"/>
      <c r="L4743" s="7"/>
      <c r="M4743" s="7"/>
      <c r="N4743" s="7"/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7"/>
      <c r="Z4743" s="7"/>
    </row>
    <row r="4744">
      <c r="A4744" s="7"/>
      <c r="B4744" s="7"/>
      <c r="C4744" s="7"/>
      <c r="D4744" s="7"/>
      <c r="E4744" s="7"/>
      <c r="F4744" s="7"/>
      <c r="G4744" s="7"/>
      <c r="H4744" s="7"/>
      <c r="I4744" s="7"/>
      <c r="J4744" s="7"/>
      <c r="K4744" s="7"/>
      <c r="L4744" s="7"/>
      <c r="M4744" s="7"/>
      <c r="N4744" s="7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</row>
    <row r="4745">
      <c r="A4745" s="7"/>
      <c r="B4745" s="7"/>
      <c r="C4745" s="7"/>
      <c r="D4745" s="7"/>
      <c r="E4745" s="7"/>
      <c r="F4745" s="7"/>
      <c r="G4745" s="7"/>
      <c r="H4745" s="7"/>
      <c r="I4745" s="7"/>
      <c r="J4745" s="7"/>
      <c r="K4745" s="7"/>
      <c r="L4745" s="7"/>
      <c r="M4745" s="7"/>
      <c r="N4745" s="7"/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7"/>
      <c r="Z4745" s="7"/>
    </row>
    <row r="4746">
      <c r="A4746" s="7"/>
      <c r="B4746" s="7"/>
      <c r="C4746" s="7"/>
      <c r="D4746" s="7"/>
      <c r="E4746" s="7"/>
      <c r="F4746" s="7"/>
      <c r="G4746" s="7"/>
      <c r="H4746" s="7"/>
      <c r="I4746" s="7"/>
      <c r="J4746" s="7"/>
      <c r="K4746" s="7"/>
      <c r="L4746" s="7"/>
      <c r="M4746" s="7"/>
      <c r="N4746" s="7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</row>
    <row r="4747">
      <c r="A4747" s="7"/>
      <c r="B4747" s="7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7"/>
      <c r="N4747" s="7"/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7"/>
      <c r="Z4747" s="7"/>
    </row>
    <row r="4748">
      <c r="A4748" s="7"/>
      <c r="B4748" s="7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7"/>
      <c r="N4748" s="7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</row>
    <row r="4749">
      <c r="A4749" s="7"/>
      <c r="B4749" s="7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7"/>
      <c r="N4749" s="7"/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7"/>
      <c r="Z4749" s="7"/>
    </row>
    <row r="4750">
      <c r="A4750" s="7"/>
      <c r="B4750" s="7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7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</row>
    <row r="4751">
      <c r="A4751" s="7"/>
      <c r="B4751" s="7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7"/>
      <c r="N4751" s="7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</row>
    <row r="4752">
      <c r="A4752" s="7"/>
      <c r="B4752" s="7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7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</row>
    <row r="4753">
      <c r="A4753" s="7"/>
      <c r="B4753" s="7"/>
      <c r="C4753" s="7"/>
      <c r="D4753" s="7"/>
      <c r="E4753" s="7"/>
      <c r="F4753" s="7"/>
      <c r="G4753" s="7"/>
      <c r="H4753" s="7"/>
      <c r="I4753" s="7"/>
      <c r="J4753" s="7"/>
      <c r="K4753" s="7"/>
      <c r="L4753" s="7"/>
      <c r="M4753" s="7"/>
      <c r="N4753" s="7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</row>
    <row r="4754">
      <c r="A4754" s="7"/>
      <c r="B4754" s="7"/>
      <c r="C4754" s="7"/>
      <c r="D4754" s="7"/>
      <c r="E4754" s="7"/>
      <c r="F4754" s="7"/>
      <c r="G4754" s="7"/>
      <c r="H4754" s="7"/>
      <c r="I4754" s="7"/>
      <c r="J4754" s="7"/>
      <c r="K4754" s="7"/>
      <c r="L4754" s="7"/>
      <c r="M4754" s="7"/>
      <c r="N4754" s="7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7"/>
      <c r="Z4754" s="7"/>
    </row>
    <row r="4755">
      <c r="A4755" s="7"/>
      <c r="B4755" s="7"/>
      <c r="C4755" s="7"/>
      <c r="D4755" s="7"/>
      <c r="E4755" s="7"/>
      <c r="F4755" s="7"/>
      <c r="G4755" s="7"/>
      <c r="H4755" s="7"/>
      <c r="I4755" s="7"/>
      <c r="J4755" s="7"/>
      <c r="K4755" s="7"/>
      <c r="L4755" s="7"/>
      <c r="M4755" s="7"/>
      <c r="N4755" s="7"/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</row>
    <row r="4756">
      <c r="A4756" s="7"/>
      <c r="B4756" s="7"/>
      <c r="C4756" s="7"/>
      <c r="D4756" s="7"/>
      <c r="E4756" s="7"/>
      <c r="F4756" s="7"/>
      <c r="G4756" s="7"/>
      <c r="H4756" s="7"/>
      <c r="I4756" s="7"/>
      <c r="J4756" s="7"/>
      <c r="K4756" s="7"/>
      <c r="L4756" s="7"/>
      <c r="M4756" s="7"/>
      <c r="N4756" s="7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/>
    </row>
    <row r="4757">
      <c r="A4757" s="7"/>
      <c r="B4757" s="7"/>
      <c r="C4757" s="7"/>
      <c r="D4757" s="7"/>
      <c r="E4757" s="7"/>
      <c r="F4757" s="7"/>
      <c r="G4757" s="7"/>
      <c r="H4757" s="7"/>
      <c r="I4757" s="7"/>
      <c r="J4757" s="7"/>
      <c r="K4757" s="7"/>
      <c r="L4757" s="7"/>
      <c r="M4757" s="7"/>
      <c r="N4757" s="7"/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</row>
    <row r="4758">
      <c r="A4758" s="7"/>
      <c r="B4758" s="7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7"/>
      <c r="N4758" s="7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</row>
    <row r="4759">
      <c r="A4759" s="7"/>
      <c r="B4759" s="7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7"/>
      <c r="N4759" s="7"/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</row>
    <row r="4760">
      <c r="A4760" s="7"/>
      <c r="B4760" s="7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7"/>
      <c r="N4760" s="7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</row>
    <row r="4761">
      <c r="A4761" s="7"/>
      <c r="B4761" s="7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7"/>
      <c r="N4761" s="7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</row>
    <row r="4762">
      <c r="A4762" s="7"/>
      <c r="B4762" s="7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7"/>
      <c r="N4762" s="7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</row>
    <row r="4763">
      <c r="A4763" s="7"/>
      <c r="B4763" s="7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7"/>
      <c r="N4763" s="7"/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</row>
    <row r="4764">
      <c r="A4764" s="7"/>
      <c r="B4764" s="7"/>
      <c r="C4764" s="7"/>
      <c r="D4764" s="7"/>
      <c r="E4764" s="7"/>
      <c r="F4764" s="7"/>
      <c r="G4764" s="7"/>
      <c r="H4764" s="7"/>
      <c r="I4764" s="7"/>
      <c r="J4764" s="7"/>
      <c r="K4764" s="7"/>
      <c r="L4764" s="7"/>
      <c r="M4764" s="7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</row>
    <row r="4765">
      <c r="A4765" s="7"/>
      <c r="B4765" s="7"/>
      <c r="C4765" s="7"/>
      <c r="D4765" s="7"/>
      <c r="E4765" s="7"/>
      <c r="F4765" s="7"/>
      <c r="G4765" s="7"/>
      <c r="H4765" s="7"/>
      <c r="I4765" s="7"/>
      <c r="J4765" s="7"/>
      <c r="K4765" s="7"/>
      <c r="L4765" s="7"/>
      <c r="M4765" s="7"/>
      <c r="N4765" s="7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</row>
    <row r="4766">
      <c r="A4766" s="7"/>
      <c r="B4766" s="7"/>
      <c r="C4766" s="7"/>
      <c r="D4766" s="7"/>
      <c r="E4766" s="7"/>
      <c r="F4766" s="7"/>
      <c r="G4766" s="7"/>
      <c r="H4766" s="7"/>
      <c r="I4766" s="7"/>
      <c r="J4766" s="7"/>
      <c r="K4766" s="7"/>
      <c r="L4766" s="7"/>
      <c r="M4766" s="7"/>
      <c r="N4766" s="7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</row>
    <row r="4767">
      <c r="A4767" s="7"/>
      <c r="B4767" s="7"/>
      <c r="C4767" s="7"/>
      <c r="D4767" s="7"/>
      <c r="E4767" s="7"/>
      <c r="F4767" s="7"/>
      <c r="G4767" s="7"/>
      <c r="H4767" s="7"/>
      <c r="I4767" s="7"/>
      <c r="J4767" s="7"/>
      <c r="K4767" s="7"/>
      <c r="L4767" s="7"/>
      <c r="M4767" s="7"/>
      <c r="N4767" s="7"/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</row>
    <row r="4768">
      <c r="A4768" s="7"/>
      <c r="B4768" s="7"/>
      <c r="C4768" s="7"/>
      <c r="D4768" s="7"/>
      <c r="E4768" s="7"/>
      <c r="F4768" s="7"/>
      <c r="G4768" s="7"/>
      <c r="H4768" s="7"/>
      <c r="I4768" s="7"/>
      <c r="J4768" s="7"/>
      <c r="K4768" s="7"/>
      <c r="L4768" s="7"/>
      <c r="M4768" s="7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</row>
    <row r="4769">
      <c r="A4769" s="7"/>
      <c r="B4769" s="7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7"/>
      <c r="N4769" s="7"/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</row>
    <row r="4770">
      <c r="A4770" s="7"/>
      <c r="B4770" s="7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7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</row>
    <row r="4771">
      <c r="A4771" s="7"/>
      <c r="B4771" s="7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7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</row>
    <row r="4772">
      <c r="A4772" s="7"/>
      <c r="B4772" s="7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</row>
    <row r="4773">
      <c r="A4773" s="7"/>
      <c r="B4773" s="7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7"/>
      <c r="N4773" s="7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</row>
    <row r="4774">
      <c r="A4774" s="7"/>
      <c r="B4774" s="7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7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</row>
    <row r="4775">
      <c r="A4775" s="7"/>
      <c r="B4775" s="7"/>
      <c r="C4775" s="7"/>
      <c r="D4775" s="7"/>
      <c r="E4775" s="7"/>
      <c r="F4775" s="7"/>
      <c r="G4775" s="7"/>
      <c r="H4775" s="7"/>
      <c r="I4775" s="7"/>
      <c r="J4775" s="7"/>
      <c r="K4775" s="7"/>
      <c r="L4775" s="7"/>
      <c r="M4775" s="7"/>
      <c r="N4775" s="7"/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</row>
    <row r="4776">
      <c r="A4776" s="7"/>
      <c r="B4776" s="7"/>
      <c r="C4776" s="7"/>
      <c r="D4776" s="7"/>
      <c r="E4776" s="7"/>
      <c r="F4776" s="7"/>
      <c r="G4776" s="7"/>
      <c r="H4776" s="7"/>
      <c r="I4776" s="7"/>
      <c r="J4776" s="7"/>
      <c r="K4776" s="7"/>
      <c r="L4776" s="7"/>
      <c r="M4776" s="7"/>
      <c r="N4776" s="7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</row>
    <row r="4777">
      <c r="A4777" s="7"/>
      <c r="B4777" s="7"/>
      <c r="C4777" s="7"/>
      <c r="D4777" s="7"/>
      <c r="E4777" s="7"/>
      <c r="F4777" s="7"/>
      <c r="G4777" s="7"/>
      <c r="H4777" s="7"/>
      <c r="I4777" s="7"/>
      <c r="J4777" s="7"/>
      <c r="K4777" s="7"/>
      <c r="L4777" s="7"/>
      <c r="M4777" s="7"/>
      <c r="N4777" s="7"/>
      <c r="O4777" s="7"/>
      <c r="P4777" s="7"/>
      <c r="Q4777" s="7"/>
      <c r="R4777" s="7"/>
      <c r="S4777" s="7"/>
      <c r="T4777" s="7"/>
      <c r="U4777" s="7"/>
      <c r="V4777" s="7"/>
      <c r="W4777" s="7"/>
      <c r="X4777" s="7"/>
      <c r="Y4777" s="7"/>
      <c r="Z4777" s="7"/>
    </row>
    <row r="4778">
      <c r="A4778" s="7"/>
      <c r="B4778" s="7"/>
      <c r="C4778" s="7"/>
      <c r="D4778" s="7"/>
      <c r="E4778" s="7"/>
      <c r="F4778" s="7"/>
      <c r="G4778" s="7"/>
      <c r="H4778" s="7"/>
      <c r="I4778" s="7"/>
      <c r="J4778" s="7"/>
      <c r="K4778" s="7"/>
      <c r="L4778" s="7"/>
      <c r="M4778" s="7"/>
      <c r="N4778" s="7"/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</row>
    <row r="4779">
      <c r="A4779" s="7"/>
      <c r="B4779" s="7"/>
      <c r="C4779" s="7"/>
      <c r="D4779" s="7"/>
      <c r="E4779" s="7"/>
      <c r="F4779" s="7"/>
      <c r="G4779" s="7"/>
      <c r="H4779" s="7"/>
      <c r="I4779" s="7"/>
      <c r="J4779" s="7"/>
      <c r="K4779" s="7"/>
      <c r="L4779" s="7"/>
      <c r="M4779" s="7"/>
      <c r="N4779" s="7"/>
      <c r="O4779" s="7"/>
      <c r="P4779" s="7"/>
      <c r="Q4779" s="7"/>
      <c r="R4779" s="7"/>
      <c r="S4779" s="7"/>
      <c r="T4779" s="7"/>
      <c r="U4779" s="7"/>
      <c r="V4779" s="7"/>
      <c r="W4779" s="7"/>
      <c r="X4779" s="7"/>
      <c r="Y4779" s="7"/>
      <c r="Z4779" s="7"/>
    </row>
    <row r="4780">
      <c r="A4780" s="7"/>
      <c r="B4780" s="7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7"/>
      <c r="N4780" s="7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</row>
    <row r="4781">
      <c r="A4781" s="7"/>
      <c r="B4781" s="7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7"/>
      <c r="N4781" s="7"/>
      <c r="O4781" s="7"/>
      <c r="P4781" s="7"/>
      <c r="Q4781" s="7"/>
      <c r="R4781" s="7"/>
      <c r="S4781" s="7"/>
      <c r="T4781" s="7"/>
      <c r="U4781" s="7"/>
      <c r="V4781" s="7"/>
      <c r="W4781" s="7"/>
      <c r="X4781" s="7"/>
      <c r="Y4781" s="7"/>
      <c r="Z4781" s="7"/>
    </row>
    <row r="4782">
      <c r="A4782" s="7"/>
      <c r="B4782" s="7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7"/>
      <c r="N4782" s="7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</row>
    <row r="4783">
      <c r="A4783" s="7"/>
      <c r="B4783" s="7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7"/>
      <c r="N4783" s="7"/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</row>
    <row r="4784">
      <c r="A4784" s="7"/>
      <c r="B4784" s="7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7"/>
      <c r="N4784" s="7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</row>
    <row r="4785">
      <c r="A4785" s="7"/>
      <c r="B4785" s="7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7"/>
      <c r="N4785" s="7"/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</row>
    <row r="4786">
      <c r="A4786" s="7"/>
      <c r="B4786" s="7"/>
      <c r="C4786" s="7"/>
      <c r="D4786" s="7"/>
      <c r="E4786" s="7"/>
      <c r="F4786" s="7"/>
      <c r="G4786" s="7"/>
      <c r="H4786" s="7"/>
      <c r="I4786" s="7"/>
      <c r="J4786" s="7"/>
      <c r="K4786" s="7"/>
      <c r="L4786" s="7"/>
      <c r="M4786" s="7"/>
      <c r="N4786" s="7"/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</row>
    <row r="4787">
      <c r="A4787" s="7"/>
      <c r="B4787" s="7"/>
      <c r="C4787" s="7"/>
      <c r="D4787" s="7"/>
      <c r="E4787" s="7"/>
      <c r="F4787" s="7"/>
      <c r="G4787" s="7"/>
      <c r="H4787" s="7"/>
      <c r="I4787" s="7"/>
      <c r="J4787" s="7"/>
      <c r="K4787" s="7"/>
      <c r="L4787" s="7"/>
      <c r="M4787" s="7"/>
      <c r="N4787" s="7"/>
      <c r="O4787" s="7"/>
      <c r="P4787" s="7"/>
      <c r="Q4787" s="7"/>
      <c r="R4787" s="7"/>
      <c r="S4787" s="7"/>
      <c r="T4787" s="7"/>
      <c r="U4787" s="7"/>
      <c r="V4787" s="7"/>
      <c r="W4787" s="7"/>
      <c r="X4787" s="7"/>
      <c r="Y4787" s="7"/>
      <c r="Z4787" s="7"/>
    </row>
    <row r="4788">
      <c r="A4788" s="7"/>
      <c r="B4788" s="7"/>
      <c r="C4788" s="7"/>
      <c r="D4788" s="7"/>
      <c r="E4788" s="7"/>
      <c r="F4788" s="7"/>
      <c r="G4788" s="7"/>
      <c r="H4788" s="7"/>
      <c r="I4788" s="7"/>
      <c r="J4788" s="7"/>
      <c r="K4788" s="7"/>
      <c r="L4788" s="7"/>
      <c r="M4788" s="7"/>
      <c r="N4788" s="7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</row>
    <row r="4789">
      <c r="A4789" s="7"/>
      <c r="B4789" s="7"/>
      <c r="C4789" s="7"/>
      <c r="D4789" s="7"/>
      <c r="E4789" s="7"/>
      <c r="F4789" s="7"/>
      <c r="G4789" s="7"/>
      <c r="H4789" s="7"/>
      <c r="I4789" s="7"/>
      <c r="J4789" s="7"/>
      <c r="K4789" s="7"/>
      <c r="L4789" s="7"/>
      <c r="M4789" s="7"/>
      <c r="N4789" s="7"/>
      <c r="O4789" s="7"/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</row>
    <row r="4790">
      <c r="A4790" s="7"/>
      <c r="B4790" s="7"/>
      <c r="C4790" s="7"/>
      <c r="D4790" s="7"/>
      <c r="E4790" s="7"/>
      <c r="F4790" s="7"/>
      <c r="G4790" s="7"/>
      <c r="H4790" s="7"/>
      <c r="I4790" s="7"/>
      <c r="J4790" s="7"/>
      <c r="K4790" s="7"/>
      <c r="L4790" s="7"/>
      <c r="M4790" s="7"/>
      <c r="N4790" s="7"/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</row>
    <row r="4791">
      <c r="A4791" s="7"/>
      <c r="B4791" s="7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7"/>
      <c r="N4791" s="7"/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</row>
    <row r="4792">
      <c r="A4792" s="7"/>
      <c r="B4792" s="7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7"/>
      <c r="N4792" s="7"/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</row>
    <row r="4793">
      <c r="A4793" s="7"/>
      <c r="B4793" s="7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7"/>
      <c r="N4793" s="7"/>
      <c r="O4793" s="7"/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</row>
    <row r="4794">
      <c r="A4794" s="7"/>
      <c r="B4794" s="7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7"/>
      <c r="N4794" s="7"/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</row>
    <row r="4795">
      <c r="A4795" s="7"/>
      <c r="B4795" s="7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7"/>
      <c r="N4795" s="7"/>
      <c r="O4795" s="7"/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</row>
    <row r="4796">
      <c r="A4796" s="7"/>
      <c r="B4796" s="7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7"/>
      <c r="N4796" s="7"/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</row>
    <row r="4797">
      <c r="A4797" s="7"/>
      <c r="B4797" s="7"/>
      <c r="C4797" s="7"/>
      <c r="D4797" s="7"/>
      <c r="E4797" s="7"/>
      <c r="F4797" s="7"/>
      <c r="G4797" s="7"/>
      <c r="H4797" s="7"/>
      <c r="I4797" s="7"/>
      <c r="J4797" s="7"/>
      <c r="K4797" s="7"/>
      <c r="L4797" s="7"/>
      <c r="M4797" s="7"/>
      <c r="N4797" s="7"/>
      <c r="O4797" s="7"/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</row>
    <row r="4798">
      <c r="A4798" s="7"/>
      <c r="B4798" s="7"/>
      <c r="C4798" s="7"/>
      <c r="D4798" s="7"/>
      <c r="E4798" s="7"/>
      <c r="F4798" s="7"/>
      <c r="G4798" s="7"/>
      <c r="H4798" s="7"/>
      <c r="I4798" s="7"/>
      <c r="J4798" s="7"/>
      <c r="K4798" s="7"/>
      <c r="L4798" s="7"/>
      <c r="M4798" s="7"/>
      <c r="N4798" s="7"/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</row>
    <row r="4799">
      <c r="A4799" s="7"/>
      <c r="B4799" s="7"/>
      <c r="C4799" s="7"/>
      <c r="D4799" s="7"/>
      <c r="E4799" s="7"/>
      <c r="F4799" s="7"/>
      <c r="G4799" s="7"/>
      <c r="H4799" s="7"/>
      <c r="I4799" s="7"/>
      <c r="J4799" s="7"/>
      <c r="K4799" s="7"/>
      <c r="L4799" s="7"/>
      <c r="M4799" s="7"/>
      <c r="N4799" s="7"/>
      <c r="O4799" s="7"/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</row>
    <row r="4800">
      <c r="A4800" s="7"/>
      <c r="B4800" s="7"/>
      <c r="C4800" s="7"/>
      <c r="D4800" s="7"/>
      <c r="E4800" s="7"/>
      <c r="F4800" s="7"/>
      <c r="G4800" s="7"/>
      <c r="H4800" s="7"/>
      <c r="I4800" s="7"/>
      <c r="J4800" s="7"/>
      <c r="K4800" s="7"/>
      <c r="L4800" s="7"/>
      <c r="M4800" s="7"/>
      <c r="N4800" s="7"/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</row>
    <row r="4801">
      <c r="A4801" s="7"/>
      <c r="B4801" s="7"/>
      <c r="C4801" s="7"/>
      <c r="D4801" s="7"/>
      <c r="E4801" s="7"/>
      <c r="F4801" s="7"/>
      <c r="G4801" s="7"/>
      <c r="H4801" s="7"/>
      <c r="I4801" s="7"/>
      <c r="J4801" s="7"/>
      <c r="K4801" s="7"/>
      <c r="L4801" s="7"/>
      <c r="M4801" s="7"/>
      <c r="N4801" s="7"/>
      <c r="O4801" s="7"/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</row>
    <row r="4802">
      <c r="A4802" s="7"/>
      <c r="B4802" s="7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7"/>
      <c r="N4802" s="7"/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</row>
    <row r="4803">
      <c r="A4803" s="7"/>
      <c r="B4803" s="7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7"/>
      <c r="N4803" s="7"/>
      <c r="O4803" s="7"/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</row>
    <row r="4804">
      <c r="A4804" s="7"/>
      <c r="B4804" s="7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7"/>
      <c r="N4804" s="7"/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</row>
    <row r="4805">
      <c r="A4805" s="7"/>
      <c r="B4805" s="7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7"/>
      <c r="N4805" s="7"/>
      <c r="O4805" s="7"/>
      <c r="P4805" s="7"/>
      <c r="Q4805" s="7"/>
      <c r="R4805" s="7"/>
      <c r="S4805" s="7"/>
      <c r="T4805" s="7"/>
      <c r="U4805" s="7"/>
      <c r="V4805" s="7"/>
      <c r="W4805" s="7"/>
      <c r="X4805" s="7"/>
      <c r="Y4805" s="7"/>
      <c r="Z4805" s="7"/>
    </row>
    <row r="4806">
      <c r="A4806" s="7"/>
      <c r="B4806" s="7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7"/>
      <c r="N4806" s="7"/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</row>
    <row r="4807">
      <c r="A4807" s="7"/>
      <c r="B4807" s="7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7"/>
      <c r="N4807" s="7"/>
      <c r="O4807" s="7"/>
      <c r="P4807" s="7"/>
      <c r="Q4807" s="7"/>
      <c r="R4807" s="7"/>
      <c r="S4807" s="7"/>
      <c r="T4807" s="7"/>
      <c r="U4807" s="7"/>
      <c r="V4807" s="7"/>
      <c r="W4807" s="7"/>
      <c r="X4807" s="7"/>
      <c r="Y4807" s="7"/>
      <c r="Z4807" s="7"/>
    </row>
    <row r="4808">
      <c r="A4808" s="7"/>
      <c r="B4808" s="7"/>
      <c r="C4808" s="7"/>
      <c r="D4808" s="7"/>
      <c r="E4808" s="7"/>
      <c r="F4808" s="7"/>
      <c r="G4808" s="7"/>
      <c r="H4808" s="7"/>
      <c r="I4808" s="7"/>
      <c r="J4808" s="7"/>
      <c r="K4808" s="7"/>
      <c r="L4808" s="7"/>
      <c r="M4808" s="7"/>
      <c r="N4808" s="7"/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7"/>
      <c r="Z4808" s="7"/>
    </row>
    <row r="4809">
      <c r="A4809" s="7"/>
      <c r="B4809" s="7"/>
      <c r="C4809" s="7"/>
      <c r="D4809" s="7"/>
      <c r="E4809" s="7"/>
      <c r="F4809" s="7"/>
      <c r="G4809" s="7"/>
      <c r="H4809" s="7"/>
      <c r="I4809" s="7"/>
      <c r="J4809" s="7"/>
      <c r="K4809" s="7"/>
      <c r="L4809" s="7"/>
      <c r="M4809" s="7"/>
      <c r="N4809" s="7"/>
      <c r="O4809" s="7"/>
      <c r="P4809" s="7"/>
      <c r="Q4809" s="7"/>
      <c r="R4809" s="7"/>
      <c r="S4809" s="7"/>
      <c r="T4809" s="7"/>
      <c r="U4809" s="7"/>
      <c r="V4809" s="7"/>
      <c r="W4809" s="7"/>
      <c r="X4809" s="7"/>
      <c r="Y4809" s="7"/>
      <c r="Z4809" s="7"/>
    </row>
    <row r="4810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7"/>
      <c r="Z4810" s="7"/>
    </row>
    <row r="4811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  <c r="V4811" s="7"/>
      <c r="W4811" s="7"/>
      <c r="X4811" s="7"/>
      <c r="Y4811" s="7"/>
      <c r="Z4811" s="7"/>
    </row>
    <row r="4812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  <c r="V4812" s="7"/>
      <c r="W4812" s="7"/>
      <c r="X4812" s="7"/>
      <c r="Y4812" s="7"/>
      <c r="Z4812" s="7"/>
    </row>
    <row r="481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  <c r="V4813" s="7"/>
      <c r="W4813" s="7"/>
      <c r="X4813" s="7"/>
      <c r="Y4813" s="7"/>
      <c r="Z4813" s="7"/>
    </row>
    <row r="4814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  <c r="V4814" s="7"/>
      <c r="W4814" s="7"/>
      <c r="X4814" s="7"/>
      <c r="Y4814" s="7"/>
      <c r="Z4814" s="7"/>
    </row>
    <row r="4815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  <c r="V4815" s="7"/>
      <c r="W4815" s="7"/>
      <c r="X4815" s="7"/>
      <c r="Y4815" s="7"/>
      <c r="Z4815" s="7"/>
    </row>
    <row r="4816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  <c r="V4816" s="7"/>
      <c r="W4816" s="7"/>
      <c r="X4816" s="7"/>
      <c r="Y4816" s="7"/>
      <c r="Z4816" s="7"/>
    </row>
    <row r="4817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  <c r="V4817" s="7"/>
      <c r="W4817" s="7"/>
      <c r="X4817" s="7"/>
      <c r="Y4817" s="7"/>
      <c r="Z4817" s="7"/>
    </row>
    <row r="4818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  <c r="V4818" s="7"/>
      <c r="W4818" s="7"/>
      <c r="X4818" s="7"/>
      <c r="Y4818" s="7"/>
      <c r="Z4818" s="7"/>
    </row>
    <row r="4819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  <c r="V4819" s="7"/>
      <c r="W4819" s="7"/>
      <c r="X4819" s="7"/>
      <c r="Y4819" s="7"/>
      <c r="Z4819" s="7"/>
    </row>
    <row r="4820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  <c r="V4820" s="7"/>
      <c r="W4820" s="7"/>
      <c r="X4820" s="7"/>
      <c r="Y4820" s="7"/>
      <c r="Z4820" s="7"/>
    </row>
    <row r="4821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  <c r="V4821" s="7"/>
      <c r="W4821" s="7"/>
      <c r="X4821" s="7"/>
      <c r="Y4821" s="7"/>
      <c r="Z4821" s="7"/>
    </row>
    <row r="4822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  <c r="V4822" s="7"/>
      <c r="W4822" s="7"/>
      <c r="X4822" s="7"/>
      <c r="Y4822" s="7"/>
      <c r="Z4822" s="7"/>
    </row>
    <row r="482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  <c r="V4823" s="7"/>
      <c r="W4823" s="7"/>
      <c r="X4823" s="7"/>
      <c r="Y4823" s="7"/>
      <c r="Z4823" s="7"/>
    </row>
    <row r="4824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  <c r="V4824" s="7"/>
      <c r="W4824" s="7"/>
      <c r="X4824" s="7"/>
      <c r="Y4824" s="7"/>
      <c r="Z4824" s="7"/>
    </row>
    <row r="4825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  <c r="V4825" s="7"/>
      <c r="W4825" s="7"/>
      <c r="X4825" s="7"/>
      <c r="Y4825" s="7"/>
      <c r="Z4825" s="7"/>
    </row>
    <row r="4826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  <c r="V4826" s="7"/>
      <c r="W4826" s="7"/>
      <c r="X4826" s="7"/>
      <c r="Y4826" s="7"/>
      <c r="Z4826" s="7"/>
    </row>
    <row r="4827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  <c r="V4827" s="7"/>
      <c r="W4827" s="7"/>
      <c r="X4827" s="7"/>
      <c r="Y4827" s="7"/>
      <c r="Z4827" s="7"/>
    </row>
    <row r="4828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  <c r="V4828" s="7"/>
      <c r="W4828" s="7"/>
      <c r="X4828" s="7"/>
      <c r="Y4828" s="7"/>
      <c r="Z4828" s="7"/>
    </row>
    <row r="4829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  <c r="V4829" s="7"/>
      <c r="W4829" s="7"/>
      <c r="X4829" s="7"/>
      <c r="Y4829" s="7"/>
      <c r="Z4829" s="7"/>
    </row>
    <row r="4830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  <c r="V4830" s="7"/>
      <c r="W4830" s="7"/>
      <c r="X4830" s="7"/>
      <c r="Y4830" s="7"/>
      <c r="Z4830" s="7"/>
    </row>
    <row r="4831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  <c r="V4831" s="7"/>
      <c r="W4831" s="7"/>
      <c r="X4831" s="7"/>
      <c r="Y4831" s="7"/>
      <c r="Z4831" s="7"/>
    </row>
    <row r="4832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  <c r="V4832" s="7"/>
      <c r="W4832" s="7"/>
      <c r="X4832" s="7"/>
      <c r="Y4832" s="7"/>
      <c r="Z4832" s="7"/>
    </row>
    <row r="483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  <c r="V4833" s="7"/>
      <c r="W4833" s="7"/>
      <c r="X4833" s="7"/>
      <c r="Y4833" s="7"/>
      <c r="Z4833" s="7"/>
    </row>
    <row r="4834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  <c r="V4834" s="7"/>
      <c r="W4834" s="7"/>
      <c r="X4834" s="7"/>
      <c r="Y4834" s="7"/>
      <c r="Z4834" s="7"/>
    </row>
    <row r="4835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  <c r="V4835" s="7"/>
      <c r="W4835" s="7"/>
      <c r="X4835" s="7"/>
      <c r="Y4835" s="7"/>
      <c r="Z4835" s="7"/>
    </row>
    <row r="4836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  <c r="V4836" s="7"/>
      <c r="W4836" s="7"/>
      <c r="X4836" s="7"/>
      <c r="Y4836" s="7"/>
      <c r="Z4836" s="7"/>
    </row>
    <row r="4837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  <c r="V4837" s="7"/>
      <c r="W4837" s="7"/>
      <c r="X4837" s="7"/>
      <c r="Y4837" s="7"/>
      <c r="Z4837" s="7"/>
    </row>
    <row r="4838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  <c r="V4838" s="7"/>
      <c r="W4838" s="7"/>
      <c r="X4838" s="7"/>
      <c r="Y4838" s="7"/>
      <c r="Z4838" s="7"/>
    </row>
    <row r="4839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  <c r="V4839" s="7"/>
      <c r="W4839" s="7"/>
      <c r="X4839" s="7"/>
      <c r="Y4839" s="7"/>
      <c r="Z4839" s="7"/>
    </row>
    <row r="4840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  <c r="V4840" s="7"/>
      <c r="W4840" s="7"/>
      <c r="X4840" s="7"/>
      <c r="Y4840" s="7"/>
      <c r="Z4840" s="7"/>
    </row>
    <row r="4841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  <c r="V4841" s="7"/>
      <c r="W4841" s="7"/>
      <c r="X4841" s="7"/>
      <c r="Y4841" s="7"/>
      <c r="Z4841" s="7"/>
    </row>
    <row r="4842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  <c r="V4842" s="7"/>
      <c r="W4842" s="7"/>
      <c r="X4842" s="7"/>
      <c r="Y4842" s="7"/>
      <c r="Z4842" s="7"/>
    </row>
    <row r="484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  <c r="V4843" s="7"/>
      <c r="W4843" s="7"/>
      <c r="X4843" s="7"/>
      <c r="Y4843" s="7"/>
      <c r="Z4843" s="7"/>
    </row>
    <row r="4844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  <c r="V4844" s="7"/>
      <c r="W4844" s="7"/>
      <c r="X4844" s="7"/>
      <c r="Y4844" s="7"/>
      <c r="Z4844" s="7"/>
    </row>
    <row r="4845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  <c r="V4845" s="7"/>
      <c r="W4845" s="7"/>
      <c r="X4845" s="7"/>
      <c r="Y4845" s="7"/>
      <c r="Z4845" s="7"/>
    </row>
    <row r="4846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  <c r="V4846" s="7"/>
      <c r="W4846" s="7"/>
      <c r="X4846" s="7"/>
      <c r="Y4846" s="7"/>
      <c r="Z4846" s="7"/>
    </row>
    <row r="4847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  <c r="V4847" s="7"/>
      <c r="W4847" s="7"/>
      <c r="X4847" s="7"/>
      <c r="Y4847" s="7"/>
      <c r="Z4847" s="7"/>
    </row>
    <row r="4848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  <c r="V4848" s="7"/>
      <c r="W4848" s="7"/>
      <c r="X4848" s="7"/>
      <c r="Y4848" s="7"/>
      <c r="Z4848" s="7"/>
    </row>
    <row r="4849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  <c r="V4849" s="7"/>
      <c r="W4849" s="7"/>
      <c r="X4849" s="7"/>
      <c r="Y4849" s="7"/>
      <c r="Z4849" s="7"/>
    </row>
    <row r="4850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  <c r="V4850" s="7"/>
      <c r="W4850" s="7"/>
      <c r="X4850" s="7"/>
      <c r="Y4850" s="7"/>
      <c r="Z4850" s="7"/>
    </row>
    <row r="4851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  <c r="V4851" s="7"/>
      <c r="W4851" s="7"/>
      <c r="X4851" s="7"/>
      <c r="Y4851" s="7"/>
      <c r="Z4851" s="7"/>
    </row>
    <row r="4852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  <c r="V4852" s="7"/>
      <c r="W4852" s="7"/>
      <c r="X4852" s="7"/>
      <c r="Y4852" s="7"/>
      <c r="Z4852" s="7"/>
    </row>
    <row r="485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  <c r="V4853" s="7"/>
      <c r="W4853" s="7"/>
      <c r="X4853" s="7"/>
      <c r="Y4853" s="7"/>
      <c r="Z4853" s="7"/>
    </row>
    <row r="4854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  <c r="V4854" s="7"/>
      <c r="W4854" s="7"/>
      <c r="X4854" s="7"/>
      <c r="Y4854" s="7"/>
      <c r="Z4854" s="7"/>
    </row>
    <row r="4855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  <c r="V4855" s="7"/>
      <c r="W4855" s="7"/>
      <c r="X4855" s="7"/>
      <c r="Y4855" s="7"/>
      <c r="Z4855" s="7"/>
    </row>
    <row r="4856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  <c r="V4856" s="7"/>
      <c r="W4856" s="7"/>
      <c r="X4856" s="7"/>
      <c r="Y4856" s="7"/>
      <c r="Z4856" s="7"/>
    </row>
    <row r="4857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  <c r="V4857" s="7"/>
      <c r="W4857" s="7"/>
      <c r="X4857" s="7"/>
      <c r="Y4857" s="7"/>
      <c r="Z4857" s="7"/>
    </row>
    <row r="4858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  <c r="V4858" s="7"/>
      <c r="W4858" s="7"/>
      <c r="X4858" s="7"/>
      <c r="Y4858" s="7"/>
      <c r="Z4858" s="7"/>
    </row>
    <row r="4859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  <c r="V4859" s="7"/>
      <c r="W4859" s="7"/>
      <c r="X4859" s="7"/>
      <c r="Y4859" s="7"/>
      <c r="Z4859" s="7"/>
    </row>
    <row r="4860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  <c r="V4860" s="7"/>
      <c r="W4860" s="7"/>
      <c r="X4860" s="7"/>
      <c r="Y4860" s="7"/>
      <c r="Z4860" s="7"/>
    </row>
    <row r="4861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  <c r="V4861" s="7"/>
      <c r="W4861" s="7"/>
      <c r="X4861" s="7"/>
      <c r="Y4861" s="7"/>
      <c r="Z4861" s="7"/>
    </row>
    <row r="4862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  <c r="V4862" s="7"/>
      <c r="W4862" s="7"/>
      <c r="X4862" s="7"/>
      <c r="Y4862" s="7"/>
      <c r="Z4862" s="7"/>
    </row>
    <row r="486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  <c r="V4863" s="7"/>
      <c r="W4863" s="7"/>
      <c r="X4863" s="7"/>
      <c r="Y4863" s="7"/>
      <c r="Z4863" s="7"/>
    </row>
    <row r="4864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  <c r="V4864" s="7"/>
      <c r="W4864" s="7"/>
      <c r="X4864" s="7"/>
      <c r="Y4864" s="7"/>
      <c r="Z4864" s="7"/>
    </row>
    <row r="4865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  <c r="V4865" s="7"/>
      <c r="W4865" s="7"/>
      <c r="X4865" s="7"/>
      <c r="Y4865" s="7"/>
      <c r="Z4865" s="7"/>
    </row>
    <row r="4866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7"/>
      <c r="Z4866" s="7"/>
    </row>
    <row r="4867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  <c r="V4867" s="7"/>
      <c r="W4867" s="7"/>
      <c r="X4867" s="7"/>
      <c r="Y4867" s="7"/>
      <c r="Z4867" s="7"/>
    </row>
    <row r="4868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  <c r="V4868" s="7"/>
      <c r="W4868" s="7"/>
      <c r="X4868" s="7"/>
      <c r="Y4868" s="7"/>
      <c r="Z4868" s="7"/>
    </row>
    <row r="4869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  <c r="V4869" s="7"/>
      <c r="W4869" s="7"/>
      <c r="X4869" s="7"/>
      <c r="Y4869" s="7"/>
      <c r="Z4869" s="7"/>
    </row>
    <row r="4870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  <c r="V4870" s="7"/>
      <c r="W4870" s="7"/>
      <c r="X4870" s="7"/>
      <c r="Y4870" s="7"/>
      <c r="Z4870" s="7"/>
    </row>
    <row r="4871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  <c r="V4871" s="7"/>
      <c r="W4871" s="7"/>
      <c r="X4871" s="7"/>
      <c r="Y4871" s="7"/>
      <c r="Z4871" s="7"/>
    </row>
    <row r="4872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  <c r="V4872" s="7"/>
      <c r="W4872" s="7"/>
      <c r="X4872" s="7"/>
      <c r="Y4872" s="7"/>
      <c r="Z4872" s="7"/>
    </row>
    <row r="487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  <c r="V4873" s="7"/>
      <c r="W4873" s="7"/>
      <c r="X4873" s="7"/>
      <c r="Y4873" s="7"/>
      <c r="Z4873" s="7"/>
    </row>
    <row r="4874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  <c r="V4874" s="7"/>
      <c r="W4874" s="7"/>
      <c r="X4874" s="7"/>
      <c r="Y4874" s="7"/>
      <c r="Z4874" s="7"/>
    </row>
    <row r="4875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  <c r="V4875" s="7"/>
      <c r="W4875" s="7"/>
      <c r="X4875" s="7"/>
      <c r="Y4875" s="7"/>
      <c r="Z4875" s="7"/>
    </row>
    <row r="4876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  <c r="V4876" s="7"/>
      <c r="W4876" s="7"/>
      <c r="X4876" s="7"/>
      <c r="Y4876" s="7"/>
      <c r="Z4876" s="7"/>
    </row>
    <row r="4877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  <c r="V4877" s="7"/>
      <c r="W4877" s="7"/>
      <c r="X4877" s="7"/>
      <c r="Y4877" s="7"/>
      <c r="Z4877" s="7"/>
    </row>
    <row r="4878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  <c r="V4878" s="7"/>
      <c r="W4878" s="7"/>
      <c r="X4878" s="7"/>
      <c r="Y4878" s="7"/>
      <c r="Z4878" s="7"/>
    </row>
    <row r="4879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  <c r="V4879" s="7"/>
      <c r="W4879" s="7"/>
      <c r="X4879" s="7"/>
      <c r="Y4879" s="7"/>
      <c r="Z4879" s="7"/>
    </row>
    <row r="4880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  <c r="V4880" s="7"/>
      <c r="W4880" s="7"/>
      <c r="X4880" s="7"/>
      <c r="Y4880" s="7"/>
      <c r="Z4880" s="7"/>
    </row>
    <row r="4881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  <c r="V4881" s="7"/>
      <c r="W4881" s="7"/>
      <c r="X4881" s="7"/>
      <c r="Y4881" s="7"/>
      <c r="Z4881" s="7"/>
    </row>
    <row r="4882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</row>
    <row r="488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  <c r="V4883" s="7"/>
      <c r="W4883" s="7"/>
      <c r="X4883" s="7"/>
      <c r="Y4883" s="7"/>
      <c r="Z4883" s="7"/>
    </row>
    <row r="4884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  <c r="V4884" s="7"/>
      <c r="W4884" s="7"/>
      <c r="X4884" s="7"/>
      <c r="Y4884" s="7"/>
      <c r="Z4884" s="7"/>
    </row>
    <row r="4885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  <c r="V4885" s="7"/>
      <c r="W4885" s="7"/>
      <c r="X4885" s="7"/>
      <c r="Y4885" s="7"/>
      <c r="Z4885" s="7"/>
    </row>
    <row r="4886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  <c r="V4886" s="7"/>
      <c r="W4886" s="7"/>
      <c r="X4886" s="7"/>
      <c r="Y4886" s="7"/>
      <c r="Z4886" s="7"/>
    </row>
    <row r="4887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  <c r="V4887" s="7"/>
      <c r="W4887" s="7"/>
      <c r="X4887" s="7"/>
      <c r="Y4887" s="7"/>
      <c r="Z4887" s="7"/>
    </row>
    <row r="4888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  <c r="V4888" s="7"/>
      <c r="W4888" s="7"/>
      <c r="X4888" s="7"/>
      <c r="Y4888" s="7"/>
      <c r="Z4888" s="7"/>
    </row>
    <row r="4889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  <c r="V4889" s="7"/>
      <c r="W4889" s="7"/>
      <c r="X4889" s="7"/>
      <c r="Y4889" s="7"/>
      <c r="Z4889" s="7"/>
    </row>
    <row r="4890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  <c r="V4890" s="7"/>
      <c r="W4890" s="7"/>
      <c r="X4890" s="7"/>
      <c r="Y4890" s="7"/>
      <c r="Z4890" s="7"/>
    </row>
    <row r="4891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  <c r="V4891" s="7"/>
      <c r="W4891" s="7"/>
      <c r="X4891" s="7"/>
      <c r="Y4891" s="7"/>
      <c r="Z4891" s="7"/>
    </row>
    <row r="4892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  <c r="V4892" s="7"/>
      <c r="W4892" s="7"/>
      <c r="X4892" s="7"/>
      <c r="Y4892" s="7"/>
      <c r="Z4892" s="7"/>
    </row>
    <row r="489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  <c r="V4893" s="7"/>
      <c r="W4893" s="7"/>
      <c r="X4893" s="7"/>
      <c r="Y4893" s="7"/>
      <c r="Z4893" s="7"/>
    </row>
    <row r="4894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  <c r="V4894" s="7"/>
      <c r="W4894" s="7"/>
      <c r="X4894" s="7"/>
      <c r="Y4894" s="7"/>
      <c r="Z4894" s="7"/>
    </row>
    <row r="4895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  <c r="V4895" s="7"/>
      <c r="W4895" s="7"/>
      <c r="X4895" s="7"/>
      <c r="Y4895" s="7"/>
      <c r="Z4895" s="7"/>
    </row>
    <row r="4896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  <c r="V4896" s="7"/>
      <c r="W4896" s="7"/>
      <c r="X4896" s="7"/>
      <c r="Y4896" s="7"/>
      <c r="Z4896" s="7"/>
    </row>
    <row r="4897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  <c r="V4897" s="7"/>
      <c r="W4897" s="7"/>
      <c r="X4897" s="7"/>
      <c r="Y4897" s="7"/>
      <c r="Z4897" s="7"/>
    </row>
    <row r="4898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  <c r="V4898" s="7"/>
      <c r="W4898" s="7"/>
      <c r="X4898" s="7"/>
      <c r="Y4898" s="7"/>
      <c r="Z4898" s="7"/>
    </row>
    <row r="4899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  <c r="V4899" s="7"/>
      <c r="W4899" s="7"/>
      <c r="X4899" s="7"/>
      <c r="Y4899" s="7"/>
      <c r="Z4899" s="7"/>
    </row>
    <row r="4900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  <c r="V4900" s="7"/>
      <c r="W4900" s="7"/>
      <c r="X4900" s="7"/>
      <c r="Y4900" s="7"/>
      <c r="Z4900" s="7"/>
    </row>
    <row r="4901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  <c r="V4901" s="7"/>
      <c r="W4901" s="7"/>
      <c r="X4901" s="7"/>
      <c r="Y4901" s="7"/>
      <c r="Z4901" s="7"/>
    </row>
    <row r="4902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  <c r="V4902" s="7"/>
      <c r="W4902" s="7"/>
      <c r="X4902" s="7"/>
      <c r="Y4902" s="7"/>
      <c r="Z4902" s="7"/>
    </row>
    <row r="490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  <c r="V4903" s="7"/>
      <c r="W4903" s="7"/>
      <c r="X4903" s="7"/>
      <c r="Y4903" s="7"/>
      <c r="Z4903" s="7"/>
    </row>
    <row r="4904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  <c r="V4904" s="7"/>
      <c r="W4904" s="7"/>
      <c r="X4904" s="7"/>
      <c r="Y4904" s="7"/>
      <c r="Z4904" s="7"/>
    </row>
    <row r="490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  <c r="V4905" s="7"/>
      <c r="W4905" s="7"/>
      <c r="X4905" s="7"/>
      <c r="Y4905" s="7"/>
      <c r="Z4905" s="7"/>
    </row>
    <row r="4906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  <c r="V4906" s="7"/>
      <c r="W4906" s="7"/>
      <c r="X4906" s="7"/>
      <c r="Y4906" s="7"/>
      <c r="Z4906" s="7"/>
    </row>
    <row r="4907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  <c r="V4907" s="7"/>
      <c r="W4907" s="7"/>
      <c r="X4907" s="7"/>
      <c r="Y4907" s="7"/>
      <c r="Z4907" s="7"/>
    </row>
    <row r="4908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  <c r="V4908" s="7"/>
      <c r="W4908" s="7"/>
      <c r="X4908" s="7"/>
      <c r="Y4908" s="7"/>
      <c r="Z4908" s="7"/>
    </row>
    <row r="4909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  <c r="V4909" s="7"/>
      <c r="W4909" s="7"/>
      <c r="X4909" s="7"/>
      <c r="Y4909" s="7"/>
      <c r="Z4909" s="7"/>
    </row>
    <row r="4910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  <c r="V4910" s="7"/>
      <c r="W4910" s="7"/>
      <c r="X4910" s="7"/>
      <c r="Y4910" s="7"/>
      <c r="Z4910" s="7"/>
    </row>
    <row r="4911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  <c r="V4911" s="7"/>
      <c r="W4911" s="7"/>
      <c r="X4911" s="7"/>
      <c r="Y4911" s="7"/>
      <c r="Z4911" s="7"/>
    </row>
    <row r="4912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  <c r="V4912" s="7"/>
      <c r="W4912" s="7"/>
      <c r="X4912" s="7"/>
      <c r="Y4912" s="7"/>
      <c r="Z4912" s="7"/>
    </row>
    <row r="491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  <c r="V4913" s="7"/>
      <c r="W4913" s="7"/>
      <c r="X4913" s="7"/>
      <c r="Y4913" s="7"/>
      <c r="Z4913" s="7"/>
    </row>
    <row r="4914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  <c r="V4914" s="7"/>
      <c r="W4914" s="7"/>
      <c r="X4914" s="7"/>
      <c r="Y4914" s="7"/>
      <c r="Z4914" s="7"/>
    </row>
    <row r="491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  <c r="V4915" s="7"/>
      <c r="W4915" s="7"/>
      <c r="X4915" s="7"/>
      <c r="Y4915" s="7"/>
      <c r="Z4915" s="7"/>
    </row>
    <row r="4916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  <c r="V4916" s="7"/>
      <c r="W4916" s="7"/>
      <c r="X4916" s="7"/>
      <c r="Y4916" s="7"/>
      <c r="Z4916" s="7"/>
    </row>
    <row r="4917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  <c r="V4917" s="7"/>
      <c r="W4917" s="7"/>
      <c r="X4917" s="7"/>
      <c r="Y4917" s="7"/>
      <c r="Z4917" s="7"/>
    </row>
    <row r="4918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  <c r="V4918" s="7"/>
      <c r="W4918" s="7"/>
      <c r="X4918" s="7"/>
      <c r="Y4918" s="7"/>
      <c r="Z4918" s="7"/>
    </row>
    <row r="4919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  <c r="V4919" s="7"/>
      <c r="W4919" s="7"/>
      <c r="X4919" s="7"/>
      <c r="Y4919" s="7"/>
      <c r="Z4919" s="7"/>
    </row>
    <row r="4920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  <c r="V4920" s="7"/>
      <c r="W4920" s="7"/>
      <c r="X4920" s="7"/>
      <c r="Y4920" s="7"/>
      <c r="Z4920" s="7"/>
    </row>
    <row r="4921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  <c r="V4921" s="7"/>
      <c r="W4921" s="7"/>
      <c r="X4921" s="7"/>
      <c r="Y4921" s="7"/>
      <c r="Z4921" s="7"/>
    </row>
    <row r="4922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  <c r="V4922" s="7"/>
      <c r="W4922" s="7"/>
      <c r="X4922" s="7"/>
      <c r="Y4922" s="7"/>
      <c r="Z4922" s="7"/>
    </row>
    <row r="492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  <c r="V4923" s="7"/>
      <c r="W4923" s="7"/>
      <c r="X4923" s="7"/>
      <c r="Y4923" s="7"/>
      <c r="Z4923" s="7"/>
    </row>
    <row r="4924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  <c r="V4924" s="7"/>
      <c r="W4924" s="7"/>
      <c r="X4924" s="7"/>
      <c r="Y4924" s="7"/>
      <c r="Z4924" s="7"/>
    </row>
    <row r="49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  <c r="V4925" s="7"/>
      <c r="W4925" s="7"/>
      <c r="X4925" s="7"/>
      <c r="Y4925" s="7"/>
      <c r="Z4925" s="7"/>
    </row>
    <row r="4926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  <c r="V4926" s="7"/>
      <c r="W4926" s="7"/>
      <c r="X4926" s="7"/>
      <c r="Y4926" s="7"/>
      <c r="Z4926" s="7"/>
    </row>
    <row r="4927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  <c r="V4927" s="7"/>
      <c r="W4927" s="7"/>
      <c r="X4927" s="7"/>
      <c r="Y4927" s="7"/>
      <c r="Z4927" s="7"/>
    </row>
    <row r="4928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  <c r="V4928" s="7"/>
      <c r="W4928" s="7"/>
      <c r="X4928" s="7"/>
      <c r="Y4928" s="7"/>
      <c r="Z4928" s="7"/>
    </row>
    <row r="4929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  <c r="V4929" s="7"/>
      <c r="W4929" s="7"/>
      <c r="X4929" s="7"/>
      <c r="Y4929" s="7"/>
      <c r="Z4929" s="7"/>
    </row>
    <row r="4930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  <c r="V4930" s="7"/>
      <c r="W4930" s="7"/>
      <c r="X4930" s="7"/>
      <c r="Y4930" s="7"/>
      <c r="Z4930" s="7"/>
    </row>
    <row r="4931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  <c r="V4931" s="7"/>
      <c r="W4931" s="7"/>
      <c r="X4931" s="7"/>
      <c r="Y4931" s="7"/>
      <c r="Z4931" s="7"/>
    </row>
    <row r="4932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  <c r="V4932" s="7"/>
      <c r="W4932" s="7"/>
      <c r="X4932" s="7"/>
      <c r="Y4932" s="7"/>
      <c r="Z4932" s="7"/>
    </row>
    <row r="493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  <c r="V4933" s="7"/>
      <c r="W4933" s="7"/>
      <c r="X4933" s="7"/>
      <c r="Y4933" s="7"/>
      <c r="Z4933" s="7"/>
    </row>
    <row r="4934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  <c r="V4934" s="7"/>
      <c r="W4934" s="7"/>
      <c r="X4934" s="7"/>
      <c r="Y4934" s="7"/>
      <c r="Z4934" s="7"/>
    </row>
    <row r="493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  <c r="V4935" s="7"/>
      <c r="W4935" s="7"/>
      <c r="X4935" s="7"/>
      <c r="Y4935" s="7"/>
      <c r="Z4935" s="7"/>
    </row>
    <row r="4936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  <c r="V4936" s="7"/>
      <c r="W4936" s="7"/>
      <c r="X4936" s="7"/>
      <c r="Y4936" s="7"/>
      <c r="Z4936" s="7"/>
    </row>
    <row r="4937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  <c r="V4937" s="7"/>
      <c r="W4937" s="7"/>
      <c r="X4937" s="7"/>
      <c r="Y4937" s="7"/>
      <c r="Z4937" s="7"/>
    </row>
    <row r="4938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  <c r="V4938" s="7"/>
      <c r="W4938" s="7"/>
      <c r="X4938" s="7"/>
      <c r="Y4938" s="7"/>
      <c r="Z4938" s="7"/>
    </row>
    <row r="4939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  <c r="V4939" s="7"/>
      <c r="W4939" s="7"/>
      <c r="X4939" s="7"/>
      <c r="Y4939" s="7"/>
      <c r="Z4939" s="7"/>
    </row>
    <row r="4940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  <c r="V4940" s="7"/>
      <c r="W4940" s="7"/>
      <c r="X4940" s="7"/>
      <c r="Y4940" s="7"/>
      <c r="Z4940" s="7"/>
    </row>
    <row r="4941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  <c r="V4941" s="7"/>
      <c r="W4941" s="7"/>
      <c r="X4941" s="7"/>
      <c r="Y4941" s="7"/>
      <c r="Z4941" s="7"/>
    </row>
    <row r="4942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  <c r="V4942" s="7"/>
      <c r="W4942" s="7"/>
      <c r="X4942" s="7"/>
      <c r="Y4942" s="7"/>
      <c r="Z4942" s="7"/>
    </row>
    <row r="494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  <c r="V4943" s="7"/>
      <c r="W4943" s="7"/>
      <c r="X4943" s="7"/>
      <c r="Y4943" s="7"/>
      <c r="Z4943" s="7"/>
    </row>
    <row r="4944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  <c r="V4944" s="7"/>
      <c r="W4944" s="7"/>
      <c r="X4944" s="7"/>
      <c r="Y4944" s="7"/>
      <c r="Z4944" s="7"/>
    </row>
    <row r="494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  <c r="V4945" s="7"/>
      <c r="W4945" s="7"/>
      <c r="X4945" s="7"/>
      <c r="Y4945" s="7"/>
      <c r="Z4945" s="7"/>
    </row>
    <row r="4946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  <c r="V4946" s="7"/>
      <c r="W4946" s="7"/>
      <c r="X4946" s="7"/>
      <c r="Y4946" s="7"/>
      <c r="Z4946" s="7"/>
    </row>
    <row r="4947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  <c r="V4947" s="7"/>
      <c r="W4947" s="7"/>
      <c r="X4947" s="7"/>
      <c r="Y4947" s="7"/>
      <c r="Z4947" s="7"/>
    </row>
    <row r="4948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  <c r="V4948" s="7"/>
      <c r="W4948" s="7"/>
      <c r="X4948" s="7"/>
      <c r="Y4948" s="7"/>
      <c r="Z4948" s="7"/>
    </row>
    <row r="4949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  <c r="V4949" s="7"/>
      <c r="W4949" s="7"/>
      <c r="X4949" s="7"/>
      <c r="Y4949" s="7"/>
      <c r="Z4949" s="7"/>
    </row>
    <row r="4950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  <c r="V4950" s="7"/>
      <c r="W4950" s="7"/>
      <c r="X4950" s="7"/>
      <c r="Y4950" s="7"/>
      <c r="Z4950" s="7"/>
    </row>
    <row r="4951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  <c r="V4951" s="7"/>
      <c r="W4951" s="7"/>
      <c r="X4951" s="7"/>
      <c r="Y4951" s="7"/>
      <c r="Z4951" s="7"/>
    </row>
    <row r="4952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  <c r="V4952" s="7"/>
      <c r="W4952" s="7"/>
      <c r="X4952" s="7"/>
      <c r="Y4952" s="7"/>
      <c r="Z4952" s="7"/>
    </row>
    <row r="495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  <c r="V4953" s="7"/>
      <c r="W4953" s="7"/>
      <c r="X4953" s="7"/>
      <c r="Y4953" s="7"/>
      <c r="Z4953" s="7"/>
    </row>
    <row r="4954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  <c r="V4954" s="7"/>
      <c r="W4954" s="7"/>
      <c r="X4954" s="7"/>
      <c r="Y4954" s="7"/>
      <c r="Z4954" s="7"/>
    </row>
    <row r="495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  <c r="V4955" s="7"/>
      <c r="W4955" s="7"/>
      <c r="X4955" s="7"/>
      <c r="Y4955" s="7"/>
      <c r="Z4955" s="7"/>
    </row>
    <row r="4956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  <c r="V4956" s="7"/>
      <c r="W4956" s="7"/>
      <c r="X4956" s="7"/>
      <c r="Y4956" s="7"/>
      <c r="Z4956" s="7"/>
    </row>
    <row r="4957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  <c r="V4957" s="7"/>
      <c r="W4957" s="7"/>
      <c r="X4957" s="7"/>
      <c r="Y4957" s="7"/>
      <c r="Z4957" s="7"/>
    </row>
    <row r="4958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  <c r="V4958" s="7"/>
      <c r="W4958" s="7"/>
      <c r="X4958" s="7"/>
      <c r="Y4958" s="7"/>
      <c r="Z4958" s="7"/>
    </row>
    <row r="4959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  <c r="V4959" s="7"/>
      <c r="W4959" s="7"/>
      <c r="X4959" s="7"/>
      <c r="Y4959" s="7"/>
      <c r="Z4959" s="7"/>
    </row>
    <row r="4960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  <c r="V4960" s="7"/>
      <c r="W4960" s="7"/>
      <c r="X4960" s="7"/>
      <c r="Y4960" s="7"/>
      <c r="Z4960" s="7"/>
    </row>
    <row r="4961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  <c r="V4961" s="7"/>
      <c r="W4961" s="7"/>
      <c r="X4961" s="7"/>
      <c r="Y4961" s="7"/>
      <c r="Z4961" s="7"/>
    </row>
    <row r="4962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  <c r="V4962" s="7"/>
      <c r="W4962" s="7"/>
      <c r="X4962" s="7"/>
      <c r="Y4962" s="7"/>
      <c r="Z4962" s="7"/>
    </row>
    <row r="496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  <c r="V4963" s="7"/>
      <c r="W4963" s="7"/>
      <c r="X4963" s="7"/>
      <c r="Y4963" s="7"/>
      <c r="Z4963" s="7"/>
    </row>
    <row r="4964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  <c r="V4964" s="7"/>
      <c r="W4964" s="7"/>
      <c r="X4964" s="7"/>
      <c r="Y4964" s="7"/>
      <c r="Z4964" s="7"/>
    </row>
    <row r="496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  <c r="V4965" s="7"/>
      <c r="W4965" s="7"/>
      <c r="X4965" s="7"/>
      <c r="Y4965" s="7"/>
      <c r="Z4965" s="7"/>
    </row>
    <row r="4966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  <c r="V4966" s="7"/>
      <c r="W4966" s="7"/>
      <c r="X4966" s="7"/>
      <c r="Y4966" s="7"/>
      <c r="Z4966" s="7"/>
    </row>
    <row r="4967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  <c r="V4967" s="7"/>
      <c r="W4967" s="7"/>
      <c r="X4967" s="7"/>
      <c r="Y4967" s="7"/>
      <c r="Z4967" s="7"/>
    </row>
    <row r="4968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  <c r="V4968" s="7"/>
      <c r="W4968" s="7"/>
      <c r="X4968" s="7"/>
      <c r="Y4968" s="7"/>
      <c r="Z4968" s="7"/>
    </row>
    <row r="4969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  <c r="V4969" s="7"/>
      <c r="W4969" s="7"/>
      <c r="X4969" s="7"/>
      <c r="Y4969" s="7"/>
      <c r="Z4969" s="7"/>
    </row>
    <row r="4970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  <c r="V4970" s="7"/>
      <c r="W4970" s="7"/>
      <c r="X4970" s="7"/>
      <c r="Y4970" s="7"/>
      <c r="Z4970" s="7"/>
    </row>
    <row r="4971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  <c r="V4971" s="7"/>
      <c r="W4971" s="7"/>
      <c r="X4971" s="7"/>
      <c r="Y4971" s="7"/>
      <c r="Z4971" s="7"/>
    </row>
    <row r="4972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  <c r="V4972" s="7"/>
      <c r="W4972" s="7"/>
      <c r="X4972" s="7"/>
      <c r="Y4972" s="7"/>
      <c r="Z4972" s="7"/>
    </row>
    <row r="497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  <c r="V4973" s="7"/>
      <c r="W4973" s="7"/>
      <c r="X4973" s="7"/>
      <c r="Y4973" s="7"/>
      <c r="Z4973" s="7"/>
    </row>
    <row r="4974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  <c r="V4974" s="7"/>
      <c r="W4974" s="7"/>
      <c r="X4974" s="7"/>
      <c r="Y4974" s="7"/>
      <c r="Z4974" s="7"/>
    </row>
    <row r="497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  <c r="V4975" s="7"/>
      <c r="W4975" s="7"/>
      <c r="X4975" s="7"/>
      <c r="Y4975" s="7"/>
      <c r="Z4975" s="7"/>
    </row>
    <row r="4976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  <c r="V4976" s="7"/>
      <c r="W4976" s="7"/>
      <c r="X4976" s="7"/>
      <c r="Y4976" s="7"/>
      <c r="Z4976" s="7"/>
    </row>
    <row r="4977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  <c r="V4977" s="7"/>
      <c r="W4977" s="7"/>
      <c r="X4977" s="7"/>
      <c r="Y4977" s="7"/>
      <c r="Z4977" s="7"/>
    </row>
    <row r="4978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  <c r="V4978" s="7"/>
      <c r="W4978" s="7"/>
      <c r="X4978" s="7"/>
      <c r="Y4978" s="7"/>
      <c r="Z4978" s="7"/>
    </row>
    <row r="4979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  <c r="V4979" s="7"/>
      <c r="W4979" s="7"/>
      <c r="X4979" s="7"/>
      <c r="Y4979" s="7"/>
      <c r="Z4979" s="7"/>
    </row>
    <row r="4980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  <c r="V4980" s="7"/>
      <c r="W4980" s="7"/>
      <c r="X4980" s="7"/>
      <c r="Y4980" s="7"/>
      <c r="Z4980" s="7"/>
    </row>
    <row r="4981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7"/>
      <c r="U4981" s="7"/>
      <c r="V4981" s="7"/>
      <c r="W4981" s="7"/>
      <c r="X4981" s="7"/>
      <c r="Y4981" s="7"/>
      <c r="Z4981" s="7"/>
    </row>
    <row r="4982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7"/>
      <c r="U4982" s="7"/>
      <c r="V4982" s="7"/>
      <c r="W4982" s="7"/>
      <c r="X4982" s="7"/>
      <c r="Y4982" s="7"/>
      <c r="Z4982" s="7"/>
    </row>
    <row r="4983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7"/>
      <c r="U4983" s="7"/>
      <c r="V4983" s="7"/>
      <c r="W4983" s="7"/>
      <c r="X4983" s="7"/>
      <c r="Y4983" s="7"/>
      <c r="Z4983" s="7"/>
    </row>
    <row r="4984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7"/>
      <c r="U4984" s="7"/>
      <c r="V4984" s="7"/>
      <c r="W4984" s="7"/>
      <c r="X4984" s="7"/>
      <c r="Y4984" s="7"/>
      <c r="Z4984" s="7"/>
    </row>
    <row r="498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7"/>
      <c r="U4985" s="7"/>
      <c r="V4985" s="7"/>
      <c r="W4985" s="7"/>
      <c r="X4985" s="7"/>
      <c r="Y4985" s="7"/>
      <c r="Z4985" s="7"/>
    </row>
    <row r="4986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7"/>
      <c r="U4986" s="7"/>
      <c r="V4986" s="7"/>
      <c r="W4986" s="7"/>
      <c r="X4986" s="7"/>
      <c r="Y4986" s="7"/>
      <c r="Z4986" s="7"/>
    </row>
    <row r="4987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7"/>
      <c r="U4987" s="7"/>
      <c r="V4987" s="7"/>
      <c r="W4987" s="7"/>
      <c r="X4987" s="7"/>
      <c r="Y4987" s="7"/>
      <c r="Z4987" s="7"/>
    </row>
    <row r="4988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7"/>
      <c r="U4988" s="7"/>
      <c r="V4988" s="7"/>
      <c r="W4988" s="7"/>
      <c r="X4988" s="7"/>
      <c r="Y4988" s="7"/>
      <c r="Z4988" s="7"/>
    </row>
    <row r="4989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7"/>
      <c r="U4989" s="7"/>
      <c r="V4989" s="7"/>
      <c r="W4989" s="7"/>
      <c r="X4989" s="7"/>
      <c r="Y4989" s="7"/>
      <c r="Z4989" s="7"/>
    </row>
    <row r="4990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7"/>
      <c r="U4990" s="7"/>
      <c r="V4990" s="7"/>
      <c r="W4990" s="7"/>
      <c r="X4990" s="7"/>
      <c r="Y4990" s="7"/>
      <c r="Z4990" s="7"/>
    </row>
    <row r="4991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7"/>
      <c r="U4991" s="7"/>
      <c r="V4991" s="7"/>
      <c r="W4991" s="7"/>
      <c r="X4991" s="7"/>
      <c r="Y4991" s="7"/>
      <c r="Z4991" s="7"/>
    </row>
    <row r="4992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7"/>
      <c r="U4992" s="7"/>
      <c r="V4992" s="7"/>
      <c r="W4992" s="7"/>
      <c r="X4992" s="7"/>
      <c r="Y4992" s="7"/>
      <c r="Z4992" s="7"/>
    </row>
    <row r="4993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7"/>
      <c r="U4993" s="7"/>
      <c r="V4993" s="7"/>
      <c r="W4993" s="7"/>
      <c r="X4993" s="7"/>
      <c r="Y4993" s="7"/>
      <c r="Z4993" s="7"/>
    </row>
    <row r="4994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7"/>
      <c r="U4994" s="7"/>
      <c r="V4994" s="7"/>
      <c r="W4994" s="7"/>
      <c r="X4994" s="7"/>
      <c r="Y4994" s="7"/>
      <c r="Z4994" s="7"/>
    </row>
    <row r="499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7"/>
      <c r="U4995" s="7"/>
      <c r="V4995" s="7"/>
      <c r="W4995" s="7"/>
      <c r="X4995" s="7"/>
      <c r="Y4995" s="7"/>
      <c r="Z4995" s="7"/>
    </row>
    <row r="4996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7"/>
      <c r="U4996" s="7"/>
      <c r="V4996" s="7"/>
      <c r="W4996" s="7"/>
      <c r="X4996" s="7"/>
      <c r="Y4996" s="7"/>
      <c r="Z4996" s="7"/>
    </row>
    <row r="4997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7"/>
      <c r="U4997" s="7"/>
      <c r="V4997" s="7"/>
      <c r="W4997" s="7"/>
      <c r="X4997" s="7"/>
      <c r="Y4997" s="7"/>
      <c r="Z4997" s="7"/>
    </row>
    <row r="4998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7"/>
      <c r="U4998" s="7"/>
      <c r="V4998" s="7"/>
      <c r="W4998" s="7"/>
      <c r="X4998" s="7"/>
      <c r="Y4998" s="7"/>
      <c r="Z4998" s="7"/>
    </row>
    <row r="4999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7"/>
      <c r="U4999" s="7"/>
      <c r="V4999" s="7"/>
      <c r="W4999" s="7"/>
      <c r="X4999" s="7"/>
      <c r="Y4999" s="7"/>
      <c r="Z4999" s="7"/>
    </row>
    <row r="5000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7"/>
      <c r="U5000" s="7"/>
      <c r="V5000" s="7"/>
      <c r="W5000" s="7"/>
      <c r="X5000" s="7"/>
      <c r="Y5000" s="7"/>
      <c r="Z5000" s="7"/>
    </row>
    <row r="5001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7"/>
      <c r="U5001" s="7"/>
      <c r="V5001" s="7"/>
      <c r="W5001" s="7"/>
      <c r="X5001" s="7"/>
      <c r="Y5001" s="7"/>
      <c r="Z5001" s="7"/>
    </row>
    <row r="5002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7"/>
      <c r="U5002" s="7"/>
      <c r="V5002" s="7"/>
      <c r="W5002" s="7"/>
      <c r="X5002" s="7"/>
      <c r="Y5002" s="7"/>
      <c r="Z5002" s="7"/>
    </row>
    <row r="5003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7"/>
      <c r="U5003" s="7"/>
      <c r="V5003" s="7"/>
      <c r="W5003" s="7"/>
      <c r="X5003" s="7"/>
      <c r="Y5003" s="7"/>
      <c r="Z5003" s="7"/>
    </row>
    <row r="5004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7"/>
      <c r="U5004" s="7"/>
      <c r="V5004" s="7"/>
      <c r="W5004" s="7"/>
      <c r="X5004" s="7"/>
      <c r="Y5004" s="7"/>
      <c r="Z5004" s="7"/>
    </row>
    <row r="500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7"/>
      <c r="U5005" s="7"/>
      <c r="V5005" s="7"/>
      <c r="W5005" s="7"/>
      <c r="X5005" s="7"/>
      <c r="Y5005" s="7"/>
      <c r="Z5005" s="7"/>
    </row>
    <row r="5006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7"/>
      <c r="U5006" s="7"/>
      <c r="V5006" s="7"/>
      <c r="W5006" s="7"/>
      <c r="X5006" s="7"/>
      <c r="Y5006" s="7"/>
      <c r="Z5006" s="7"/>
    </row>
    <row r="5007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7"/>
      <c r="U5007" s="7"/>
      <c r="V5007" s="7"/>
      <c r="W5007" s="7"/>
      <c r="X5007" s="7"/>
      <c r="Y5007" s="7"/>
      <c r="Z5007" s="7"/>
    </row>
    <row r="5008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7"/>
      <c r="U5008" s="7"/>
      <c r="V5008" s="7"/>
      <c r="W5008" s="7"/>
      <c r="X5008" s="7"/>
      <c r="Y5008" s="7"/>
      <c r="Z5008" s="7"/>
    </row>
    <row r="5009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7"/>
      <c r="U5009" s="7"/>
      <c r="V5009" s="7"/>
      <c r="W5009" s="7"/>
      <c r="X5009" s="7"/>
      <c r="Y5009" s="7"/>
      <c r="Z5009" s="7"/>
    </row>
    <row r="5010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7"/>
      <c r="U5010" s="7"/>
      <c r="V5010" s="7"/>
      <c r="W5010" s="7"/>
      <c r="X5010" s="7"/>
      <c r="Y5010" s="7"/>
      <c r="Z5010" s="7"/>
    </row>
    <row r="5011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7"/>
      <c r="U5011" s="7"/>
      <c r="V5011" s="7"/>
      <c r="W5011" s="7"/>
      <c r="X5011" s="7"/>
      <c r="Y5011" s="7"/>
      <c r="Z5011" s="7"/>
    </row>
    <row r="5012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7"/>
      <c r="U5012" s="7"/>
      <c r="V5012" s="7"/>
      <c r="W5012" s="7"/>
      <c r="X5012" s="7"/>
      <c r="Y5012" s="7"/>
      <c r="Z5012" s="7"/>
    </row>
    <row r="5013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7"/>
      <c r="U5013" s="7"/>
      <c r="V5013" s="7"/>
      <c r="W5013" s="7"/>
      <c r="X5013" s="7"/>
      <c r="Y5013" s="7"/>
      <c r="Z5013" s="7"/>
    </row>
    <row r="5014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7"/>
      <c r="U5014" s="7"/>
      <c r="V5014" s="7"/>
      <c r="W5014" s="7"/>
      <c r="X5014" s="7"/>
      <c r="Y5014" s="7"/>
      <c r="Z5014" s="7"/>
    </row>
    <row r="501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7"/>
      <c r="U5015" s="7"/>
      <c r="V5015" s="7"/>
      <c r="W5015" s="7"/>
      <c r="X5015" s="7"/>
      <c r="Y5015" s="7"/>
      <c r="Z5015" s="7"/>
    </row>
    <row r="5016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7"/>
      <c r="U5016" s="7"/>
      <c r="V5016" s="7"/>
      <c r="W5016" s="7"/>
      <c r="X5016" s="7"/>
      <c r="Y5016" s="7"/>
      <c r="Z5016" s="7"/>
    </row>
    <row r="5017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7"/>
      <c r="U5017" s="7"/>
      <c r="V5017" s="7"/>
      <c r="W5017" s="7"/>
      <c r="X5017" s="7"/>
      <c r="Y5017" s="7"/>
      <c r="Z5017" s="7"/>
    </row>
    <row r="5018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7"/>
      <c r="U5018" s="7"/>
      <c r="V5018" s="7"/>
      <c r="W5018" s="7"/>
      <c r="X5018" s="7"/>
      <c r="Y5018" s="7"/>
      <c r="Z5018" s="7"/>
    </row>
    <row r="5019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7"/>
      <c r="U5019" s="7"/>
      <c r="V5019" s="7"/>
      <c r="W5019" s="7"/>
      <c r="X5019" s="7"/>
      <c r="Y5019" s="7"/>
      <c r="Z5019" s="7"/>
    </row>
    <row r="5020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7"/>
      <c r="U5020" s="7"/>
      <c r="V5020" s="7"/>
      <c r="W5020" s="7"/>
      <c r="X5020" s="7"/>
      <c r="Y5020" s="7"/>
      <c r="Z5020" s="7"/>
    </row>
    <row r="5021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7"/>
      <c r="U5021" s="7"/>
      <c r="V5021" s="7"/>
      <c r="W5021" s="7"/>
      <c r="X5021" s="7"/>
      <c r="Y5021" s="7"/>
      <c r="Z5021" s="7"/>
    </row>
    <row r="5022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7"/>
      <c r="U5022" s="7"/>
      <c r="V5022" s="7"/>
      <c r="W5022" s="7"/>
      <c r="X5022" s="7"/>
      <c r="Y5022" s="7"/>
      <c r="Z5022" s="7"/>
    </row>
    <row r="5023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7"/>
      <c r="U5023" s="7"/>
      <c r="V5023" s="7"/>
      <c r="W5023" s="7"/>
      <c r="X5023" s="7"/>
      <c r="Y5023" s="7"/>
      <c r="Z5023" s="7"/>
    </row>
    <row r="5024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7"/>
      <c r="U5024" s="7"/>
      <c r="V5024" s="7"/>
      <c r="W5024" s="7"/>
      <c r="X5024" s="7"/>
      <c r="Y5024" s="7"/>
      <c r="Z5024" s="7"/>
    </row>
    <row r="50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7"/>
      <c r="U5025" s="7"/>
      <c r="V5025" s="7"/>
      <c r="W5025" s="7"/>
      <c r="X5025" s="7"/>
      <c r="Y5025" s="7"/>
      <c r="Z5025" s="7"/>
    </row>
    <row r="5026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7"/>
      <c r="U5026" s="7"/>
      <c r="V5026" s="7"/>
      <c r="W5026" s="7"/>
      <c r="X5026" s="7"/>
      <c r="Y5026" s="7"/>
      <c r="Z5026" s="7"/>
    </row>
    <row r="5027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7"/>
      <c r="U5027" s="7"/>
      <c r="V5027" s="7"/>
      <c r="W5027" s="7"/>
      <c r="X5027" s="7"/>
      <c r="Y5027" s="7"/>
      <c r="Z5027" s="7"/>
    </row>
    <row r="5028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7"/>
      <c r="U5028" s="7"/>
      <c r="V5028" s="7"/>
      <c r="W5028" s="7"/>
      <c r="X5028" s="7"/>
      <c r="Y5028" s="7"/>
      <c r="Z5028" s="7"/>
    </row>
    <row r="5029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7"/>
      <c r="U5029" s="7"/>
      <c r="V5029" s="7"/>
      <c r="W5029" s="7"/>
      <c r="X5029" s="7"/>
      <c r="Y5029" s="7"/>
      <c r="Z5029" s="7"/>
    </row>
    <row r="5030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7"/>
      <c r="U5030" s="7"/>
      <c r="V5030" s="7"/>
      <c r="W5030" s="7"/>
      <c r="X5030" s="7"/>
      <c r="Y5030" s="7"/>
      <c r="Z5030" s="7"/>
    </row>
    <row r="5031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7"/>
      <c r="U5031" s="7"/>
      <c r="V5031" s="7"/>
      <c r="W5031" s="7"/>
      <c r="X5031" s="7"/>
      <c r="Y5031" s="7"/>
      <c r="Z5031" s="7"/>
    </row>
    <row r="5032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7"/>
      <c r="U5032" s="7"/>
      <c r="V5032" s="7"/>
      <c r="W5032" s="7"/>
      <c r="X5032" s="7"/>
      <c r="Y5032" s="7"/>
      <c r="Z5032" s="7"/>
    </row>
    <row r="5033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7"/>
      <c r="U5033" s="7"/>
      <c r="V5033" s="7"/>
      <c r="W5033" s="7"/>
      <c r="X5033" s="7"/>
      <c r="Y5033" s="7"/>
      <c r="Z5033" s="7"/>
    </row>
    <row r="5034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7"/>
      <c r="U5034" s="7"/>
      <c r="V5034" s="7"/>
      <c r="W5034" s="7"/>
      <c r="X5034" s="7"/>
      <c r="Y5034" s="7"/>
      <c r="Z5034" s="7"/>
    </row>
    <row r="503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7"/>
      <c r="U5035" s="7"/>
      <c r="V5035" s="7"/>
      <c r="W5035" s="7"/>
      <c r="X5035" s="7"/>
      <c r="Y5035" s="7"/>
      <c r="Z5035" s="7"/>
    </row>
    <row r="5036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7"/>
      <c r="U5036" s="7"/>
      <c r="V5036" s="7"/>
      <c r="W5036" s="7"/>
      <c r="X5036" s="7"/>
      <c r="Y5036" s="7"/>
      <c r="Z5036" s="7"/>
    </row>
    <row r="5037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7"/>
      <c r="U5037" s="7"/>
      <c r="V5037" s="7"/>
      <c r="W5037" s="7"/>
      <c r="X5037" s="7"/>
      <c r="Y5037" s="7"/>
      <c r="Z5037" s="7"/>
    </row>
    <row r="5038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7"/>
      <c r="U5038" s="7"/>
      <c r="V5038" s="7"/>
      <c r="W5038" s="7"/>
      <c r="X5038" s="7"/>
      <c r="Y5038" s="7"/>
      <c r="Z5038" s="7"/>
    </row>
    <row r="5039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7"/>
      <c r="U5039" s="7"/>
      <c r="V5039" s="7"/>
      <c r="W5039" s="7"/>
      <c r="X5039" s="7"/>
      <c r="Y5039" s="7"/>
      <c r="Z5039" s="7"/>
    </row>
    <row r="5040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7"/>
      <c r="U5040" s="7"/>
      <c r="V5040" s="7"/>
      <c r="W5040" s="7"/>
      <c r="X5040" s="7"/>
      <c r="Y5040" s="7"/>
      <c r="Z5040" s="7"/>
    </row>
    <row r="5041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7"/>
      <c r="U5041" s="7"/>
      <c r="V5041" s="7"/>
      <c r="W5041" s="7"/>
      <c r="X5041" s="7"/>
      <c r="Y5041" s="7"/>
      <c r="Z5041" s="7"/>
    </row>
    <row r="5042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7"/>
      <c r="U5042" s="7"/>
      <c r="V5042" s="7"/>
      <c r="W5042" s="7"/>
      <c r="X5042" s="7"/>
      <c r="Y5042" s="7"/>
      <c r="Z5042" s="7"/>
    </row>
    <row r="5043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7"/>
      <c r="U5043" s="7"/>
      <c r="V5043" s="7"/>
      <c r="W5043" s="7"/>
      <c r="X5043" s="7"/>
      <c r="Y5043" s="7"/>
      <c r="Z5043" s="7"/>
    </row>
    <row r="5044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7"/>
      <c r="U5044" s="7"/>
      <c r="V5044" s="7"/>
      <c r="W5044" s="7"/>
      <c r="X5044" s="7"/>
      <c r="Y5044" s="7"/>
      <c r="Z5044" s="7"/>
    </row>
    <row r="504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7"/>
      <c r="U5045" s="7"/>
      <c r="V5045" s="7"/>
      <c r="W5045" s="7"/>
      <c r="X5045" s="7"/>
      <c r="Y5045" s="7"/>
      <c r="Z5045" s="7"/>
    </row>
    <row r="5046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7"/>
      <c r="U5046" s="7"/>
      <c r="V5046" s="7"/>
      <c r="W5046" s="7"/>
      <c r="X5046" s="7"/>
      <c r="Y5046" s="7"/>
      <c r="Z5046" s="7"/>
    </row>
    <row r="5047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7"/>
      <c r="U5047" s="7"/>
      <c r="V5047" s="7"/>
      <c r="W5047" s="7"/>
      <c r="X5047" s="7"/>
      <c r="Y5047" s="7"/>
      <c r="Z5047" s="7"/>
    </row>
    <row r="5048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7"/>
      <c r="U5048" s="7"/>
      <c r="V5048" s="7"/>
      <c r="W5048" s="7"/>
      <c r="X5048" s="7"/>
      <c r="Y5048" s="7"/>
      <c r="Z5048" s="7"/>
    </row>
    <row r="5049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7"/>
      <c r="U5049" s="7"/>
      <c r="V5049" s="7"/>
      <c r="W5049" s="7"/>
      <c r="X5049" s="7"/>
      <c r="Y5049" s="7"/>
      <c r="Z5049" s="7"/>
    </row>
    <row r="5050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7"/>
      <c r="U5050" s="7"/>
      <c r="V5050" s="7"/>
      <c r="W5050" s="7"/>
      <c r="X5050" s="7"/>
      <c r="Y5050" s="7"/>
      <c r="Z5050" s="7"/>
    </row>
    <row r="5051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7"/>
      <c r="U5051" s="7"/>
      <c r="V5051" s="7"/>
      <c r="W5051" s="7"/>
      <c r="X5051" s="7"/>
      <c r="Y5051" s="7"/>
      <c r="Z5051" s="7"/>
    </row>
    <row r="5052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7"/>
      <c r="U5052" s="7"/>
      <c r="V5052" s="7"/>
      <c r="W5052" s="7"/>
      <c r="X5052" s="7"/>
      <c r="Y5052" s="7"/>
      <c r="Z5052" s="7"/>
    </row>
    <row r="5053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7"/>
      <c r="U5053" s="7"/>
      <c r="V5053" s="7"/>
      <c r="W5053" s="7"/>
      <c r="X5053" s="7"/>
      <c r="Y5053" s="7"/>
      <c r="Z5053" s="7"/>
    </row>
    <row r="5054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7"/>
      <c r="U5054" s="7"/>
      <c r="V5054" s="7"/>
      <c r="W5054" s="7"/>
      <c r="X5054" s="7"/>
      <c r="Y5054" s="7"/>
      <c r="Z5054" s="7"/>
    </row>
    <row r="505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7"/>
      <c r="U5055" s="7"/>
      <c r="V5055" s="7"/>
      <c r="W5055" s="7"/>
      <c r="X5055" s="7"/>
      <c r="Y5055" s="7"/>
      <c r="Z5055" s="7"/>
    </row>
    <row r="5056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7"/>
      <c r="U5056" s="7"/>
      <c r="V5056" s="7"/>
      <c r="W5056" s="7"/>
      <c r="X5056" s="7"/>
      <c r="Y5056" s="7"/>
      <c r="Z5056" s="7"/>
    </row>
    <row r="5057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7"/>
      <c r="U5057" s="7"/>
      <c r="V5057" s="7"/>
      <c r="W5057" s="7"/>
      <c r="X5057" s="7"/>
      <c r="Y5057" s="7"/>
      <c r="Z5057" s="7"/>
    </row>
    <row r="5058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7"/>
      <c r="U5058" s="7"/>
      <c r="V5058" s="7"/>
      <c r="W5058" s="7"/>
      <c r="X5058" s="7"/>
      <c r="Y5058" s="7"/>
      <c r="Z5058" s="7"/>
    </row>
    <row r="5059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7"/>
      <c r="U5059" s="7"/>
      <c r="V5059" s="7"/>
      <c r="W5059" s="7"/>
      <c r="X5059" s="7"/>
      <c r="Y5059" s="7"/>
      <c r="Z5059" s="7"/>
    </row>
    <row r="5060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7"/>
      <c r="U5060" s="7"/>
      <c r="V5060" s="7"/>
      <c r="W5060" s="7"/>
      <c r="X5060" s="7"/>
      <c r="Y5060" s="7"/>
      <c r="Z5060" s="7"/>
    </row>
    <row r="5061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7"/>
      <c r="U5061" s="7"/>
      <c r="V5061" s="7"/>
      <c r="W5061" s="7"/>
      <c r="X5061" s="7"/>
      <c r="Y5061" s="7"/>
      <c r="Z5061" s="7"/>
    </row>
    <row r="5062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7"/>
      <c r="U5062" s="7"/>
      <c r="V5062" s="7"/>
      <c r="W5062" s="7"/>
      <c r="X5062" s="7"/>
      <c r="Y5062" s="7"/>
      <c r="Z5062" s="7"/>
    </row>
    <row r="5063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7"/>
      <c r="U5063" s="7"/>
      <c r="V5063" s="7"/>
      <c r="W5063" s="7"/>
      <c r="X5063" s="7"/>
      <c r="Y5063" s="7"/>
      <c r="Z5063" s="7"/>
    </row>
    <row r="5064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7"/>
      <c r="U5064" s="7"/>
      <c r="V5064" s="7"/>
      <c r="W5064" s="7"/>
      <c r="X5064" s="7"/>
      <c r="Y5064" s="7"/>
      <c r="Z5064" s="7"/>
    </row>
    <row r="506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7"/>
      <c r="U5065" s="7"/>
      <c r="V5065" s="7"/>
      <c r="W5065" s="7"/>
      <c r="X5065" s="7"/>
      <c r="Y5065" s="7"/>
      <c r="Z5065" s="7"/>
    </row>
    <row r="5066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7"/>
      <c r="U5066" s="7"/>
      <c r="V5066" s="7"/>
      <c r="W5066" s="7"/>
      <c r="X5066" s="7"/>
      <c r="Y5066" s="7"/>
      <c r="Z5066" s="7"/>
    </row>
    <row r="5067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7"/>
      <c r="U5067" s="7"/>
      <c r="V5067" s="7"/>
      <c r="W5067" s="7"/>
      <c r="X5067" s="7"/>
      <c r="Y5067" s="7"/>
      <c r="Z5067" s="7"/>
    </row>
    <row r="5068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7"/>
      <c r="U5068" s="7"/>
      <c r="V5068" s="7"/>
      <c r="W5068" s="7"/>
      <c r="X5068" s="7"/>
      <c r="Y5068" s="7"/>
      <c r="Z5068" s="7"/>
    </row>
    <row r="5069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7"/>
      <c r="U5069" s="7"/>
      <c r="V5069" s="7"/>
      <c r="W5069" s="7"/>
      <c r="X5069" s="7"/>
      <c r="Y5069" s="7"/>
      <c r="Z5069" s="7"/>
    </row>
    <row r="5070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7"/>
      <c r="U5070" s="7"/>
      <c r="V5070" s="7"/>
      <c r="W5070" s="7"/>
      <c r="X5070" s="7"/>
      <c r="Y5070" s="7"/>
      <c r="Z5070" s="7"/>
    </row>
    <row r="5071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7"/>
      <c r="U5071" s="7"/>
      <c r="V5071" s="7"/>
      <c r="W5071" s="7"/>
      <c r="X5071" s="7"/>
      <c r="Y5071" s="7"/>
      <c r="Z5071" s="7"/>
    </row>
    <row r="5072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7"/>
      <c r="U5072" s="7"/>
      <c r="V5072" s="7"/>
      <c r="W5072" s="7"/>
      <c r="X5072" s="7"/>
      <c r="Y5072" s="7"/>
      <c r="Z5072" s="7"/>
    </row>
    <row r="5073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7"/>
      <c r="U5073" s="7"/>
      <c r="V5073" s="7"/>
      <c r="W5073" s="7"/>
      <c r="X5073" s="7"/>
      <c r="Y5073" s="7"/>
      <c r="Z5073" s="7"/>
    </row>
    <row r="5074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7"/>
      <c r="U5074" s="7"/>
      <c r="V5074" s="7"/>
      <c r="W5074" s="7"/>
      <c r="X5074" s="7"/>
      <c r="Y5074" s="7"/>
      <c r="Z5074" s="7"/>
    </row>
    <row r="507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7"/>
      <c r="U5075" s="7"/>
      <c r="V5075" s="7"/>
      <c r="W5075" s="7"/>
      <c r="X5075" s="7"/>
      <c r="Y5075" s="7"/>
      <c r="Z5075" s="7"/>
    </row>
    <row r="5076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7"/>
      <c r="U5076" s="7"/>
      <c r="V5076" s="7"/>
      <c r="W5076" s="7"/>
      <c r="X5076" s="7"/>
      <c r="Y5076" s="7"/>
      <c r="Z5076" s="7"/>
    </row>
    <row r="5077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7"/>
      <c r="U5077" s="7"/>
      <c r="V5077" s="7"/>
      <c r="W5077" s="7"/>
      <c r="X5077" s="7"/>
      <c r="Y5077" s="7"/>
      <c r="Z5077" s="7"/>
    </row>
    <row r="5078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7"/>
      <c r="U5078" s="7"/>
      <c r="V5078" s="7"/>
      <c r="W5078" s="7"/>
      <c r="X5078" s="7"/>
      <c r="Y5078" s="7"/>
      <c r="Z5078" s="7"/>
    </row>
    <row r="5079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7"/>
      <c r="U5079" s="7"/>
      <c r="V5079" s="7"/>
      <c r="W5079" s="7"/>
      <c r="X5079" s="7"/>
      <c r="Y5079" s="7"/>
      <c r="Z5079" s="7"/>
    </row>
    <row r="5080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7"/>
      <c r="U5080" s="7"/>
      <c r="V5080" s="7"/>
      <c r="W5080" s="7"/>
      <c r="X5080" s="7"/>
      <c r="Y5080" s="7"/>
      <c r="Z5080" s="7"/>
    </row>
    <row r="5081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7"/>
      <c r="U5081" s="7"/>
      <c r="V5081" s="7"/>
      <c r="W5081" s="7"/>
      <c r="X5081" s="7"/>
      <c r="Y5081" s="7"/>
      <c r="Z5081" s="7"/>
    </row>
    <row r="5082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7"/>
      <c r="U5082" s="7"/>
      <c r="V5082" s="7"/>
      <c r="W5082" s="7"/>
      <c r="X5082" s="7"/>
      <c r="Y5082" s="7"/>
      <c r="Z5082" s="7"/>
    </row>
    <row r="5083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7"/>
      <c r="U5083" s="7"/>
      <c r="V5083" s="7"/>
      <c r="W5083" s="7"/>
      <c r="X5083" s="7"/>
      <c r="Y5083" s="7"/>
      <c r="Z5083" s="7"/>
    </row>
    <row r="5084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7"/>
      <c r="U5084" s="7"/>
      <c r="V5084" s="7"/>
      <c r="W5084" s="7"/>
      <c r="X5084" s="7"/>
      <c r="Y5084" s="7"/>
      <c r="Z5084" s="7"/>
    </row>
    <row r="508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7"/>
      <c r="U5085" s="7"/>
      <c r="V5085" s="7"/>
      <c r="W5085" s="7"/>
      <c r="X5085" s="7"/>
      <c r="Y5085" s="7"/>
      <c r="Z5085" s="7"/>
    </row>
    <row r="5086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7"/>
      <c r="U5086" s="7"/>
      <c r="V5086" s="7"/>
      <c r="W5086" s="7"/>
      <c r="X5086" s="7"/>
      <c r="Y5086" s="7"/>
      <c r="Z5086" s="7"/>
    </row>
    <row r="5087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7"/>
      <c r="U5087" s="7"/>
      <c r="V5087" s="7"/>
      <c r="W5087" s="7"/>
      <c r="X5087" s="7"/>
      <c r="Y5087" s="7"/>
      <c r="Z5087" s="7"/>
    </row>
    <row r="5088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7"/>
      <c r="U5088" s="7"/>
      <c r="V5088" s="7"/>
      <c r="W5088" s="7"/>
      <c r="X5088" s="7"/>
      <c r="Y5088" s="7"/>
      <c r="Z5088" s="7"/>
    </row>
    <row r="5089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7"/>
      <c r="U5089" s="7"/>
      <c r="V5089" s="7"/>
      <c r="W5089" s="7"/>
      <c r="X5089" s="7"/>
      <c r="Y5089" s="7"/>
      <c r="Z5089" s="7"/>
    </row>
    <row r="5090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7"/>
      <c r="U5090" s="7"/>
      <c r="V5090" s="7"/>
      <c r="W5090" s="7"/>
      <c r="X5090" s="7"/>
      <c r="Y5090" s="7"/>
      <c r="Z5090" s="7"/>
    </row>
    <row r="5091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7"/>
      <c r="U5091" s="7"/>
      <c r="V5091" s="7"/>
      <c r="W5091" s="7"/>
      <c r="X5091" s="7"/>
      <c r="Y5091" s="7"/>
      <c r="Z5091" s="7"/>
    </row>
    <row r="5092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7"/>
      <c r="U5092" s="7"/>
      <c r="V5092" s="7"/>
      <c r="W5092" s="7"/>
      <c r="X5092" s="7"/>
      <c r="Y5092" s="7"/>
      <c r="Z5092" s="7"/>
    </row>
    <row r="5093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7"/>
      <c r="U5093" s="7"/>
      <c r="V5093" s="7"/>
      <c r="W5093" s="7"/>
      <c r="X5093" s="7"/>
      <c r="Y5093" s="7"/>
      <c r="Z5093" s="7"/>
    </row>
    <row r="5094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7"/>
      <c r="U5094" s="7"/>
      <c r="V5094" s="7"/>
      <c r="W5094" s="7"/>
      <c r="X5094" s="7"/>
      <c r="Y5094" s="7"/>
      <c r="Z5094" s="7"/>
    </row>
    <row r="509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7"/>
      <c r="U5095" s="7"/>
      <c r="V5095" s="7"/>
      <c r="W5095" s="7"/>
      <c r="X5095" s="7"/>
      <c r="Y5095" s="7"/>
      <c r="Z5095" s="7"/>
    </row>
    <row r="5096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7"/>
      <c r="U5096" s="7"/>
      <c r="V5096" s="7"/>
      <c r="W5096" s="7"/>
      <c r="X5096" s="7"/>
      <c r="Y5096" s="7"/>
      <c r="Z5096" s="7"/>
    </row>
    <row r="5097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7"/>
      <c r="U5097" s="7"/>
      <c r="V5097" s="7"/>
      <c r="W5097" s="7"/>
      <c r="X5097" s="7"/>
      <c r="Y5097" s="7"/>
      <c r="Z5097" s="7"/>
    </row>
    <row r="5098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7"/>
      <c r="U5098" s="7"/>
      <c r="V5098" s="7"/>
      <c r="W5098" s="7"/>
      <c r="X5098" s="7"/>
      <c r="Y5098" s="7"/>
      <c r="Z5098" s="7"/>
    </row>
    <row r="5099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7"/>
      <c r="U5099" s="7"/>
      <c r="V5099" s="7"/>
      <c r="W5099" s="7"/>
      <c r="X5099" s="7"/>
      <c r="Y5099" s="7"/>
      <c r="Z5099" s="7"/>
    </row>
    <row r="5100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7"/>
      <c r="U5100" s="7"/>
      <c r="V5100" s="7"/>
      <c r="W5100" s="7"/>
      <c r="X5100" s="7"/>
      <c r="Y5100" s="7"/>
      <c r="Z5100" s="7"/>
    </row>
    <row r="5101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7"/>
      <c r="U5101" s="7"/>
      <c r="V5101" s="7"/>
      <c r="W5101" s="7"/>
      <c r="X5101" s="7"/>
      <c r="Y5101" s="7"/>
      <c r="Z5101" s="7"/>
    </row>
    <row r="5102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7"/>
      <c r="U5102" s="7"/>
      <c r="V5102" s="7"/>
      <c r="W5102" s="7"/>
      <c r="X5102" s="7"/>
      <c r="Y5102" s="7"/>
      <c r="Z5102" s="7"/>
    </row>
    <row r="5103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7"/>
      <c r="U5103" s="7"/>
      <c r="V5103" s="7"/>
      <c r="W5103" s="7"/>
      <c r="X5103" s="7"/>
      <c r="Y5103" s="7"/>
      <c r="Z5103" s="7"/>
    </row>
    <row r="5104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7"/>
      <c r="U5104" s="7"/>
      <c r="V5104" s="7"/>
      <c r="W5104" s="7"/>
      <c r="X5104" s="7"/>
      <c r="Y5104" s="7"/>
      <c r="Z5104" s="7"/>
    </row>
    <row r="510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7"/>
      <c r="U5105" s="7"/>
      <c r="V5105" s="7"/>
      <c r="W5105" s="7"/>
      <c r="X5105" s="7"/>
      <c r="Y5105" s="7"/>
      <c r="Z5105" s="7"/>
    </row>
    <row r="5106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7"/>
      <c r="U5106" s="7"/>
      <c r="V5106" s="7"/>
      <c r="W5106" s="7"/>
      <c r="X5106" s="7"/>
      <c r="Y5106" s="7"/>
      <c r="Z5106" s="7"/>
    </row>
    <row r="5107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7"/>
      <c r="U5107" s="7"/>
      <c r="V5107" s="7"/>
      <c r="W5107" s="7"/>
      <c r="X5107" s="7"/>
      <c r="Y5107" s="7"/>
      <c r="Z5107" s="7"/>
    </row>
    <row r="5108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7"/>
      <c r="U5108" s="7"/>
      <c r="V5108" s="7"/>
      <c r="W5108" s="7"/>
      <c r="X5108" s="7"/>
      <c r="Y5108" s="7"/>
      <c r="Z5108" s="7"/>
    </row>
    <row r="5109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7"/>
      <c r="U5109" s="7"/>
      <c r="V5109" s="7"/>
      <c r="W5109" s="7"/>
      <c r="X5109" s="7"/>
      <c r="Y5109" s="7"/>
      <c r="Z5109" s="7"/>
    </row>
    <row r="5110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7"/>
      <c r="U5110" s="7"/>
      <c r="V5110" s="7"/>
      <c r="W5110" s="7"/>
      <c r="X5110" s="7"/>
      <c r="Y5110" s="7"/>
      <c r="Z5110" s="7"/>
    </row>
    <row r="5111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7"/>
      <c r="U5111" s="7"/>
      <c r="V5111" s="7"/>
      <c r="W5111" s="7"/>
      <c r="X5111" s="7"/>
      <c r="Y5111" s="7"/>
      <c r="Z5111" s="7"/>
    </row>
    <row r="5112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7"/>
      <c r="U5112" s="7"/>
      <c r="V5112" s="7"/>
      <c r="W5112" s="7"/>
      <c r="X5112" s="7"/>
      <c r="Y5112" s="7"/>
      <c r="Z5112" s="7"/>
    </row>
    <row r="5113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7"/>
      <c r="U5113" s="7"/>
      <c r="V5113" s="7"/>
      <c r="W5113" s="7"/>
      <c r="X5113" s="7"/>
      <c r="Y5113" s="7"/>
      <c r="Z5113" s="7"/>
    </row>
    <row r="5114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7"/>
      <c r="U5114" s="7"/>
      <c r="V5114" s="7"/>
      <c r="W5114" s="7"/>
      <c r="X5114" s="7"/>
      <c r="Y5114" s="7"/>
      <c r="Z5114" s="7"/>
    </row>
    <row r="511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7"/>
      <c r="U5115" s="7"/>
      <c r="V5115" s="7"/>
      <c r="W5115" s="7"/>
      <c r="X5115" s="7"/>
      <c r="Y5115" s="7"/>
      <c r="Z5115" s="7"/>
    </row>
    <row r="5116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7"/>
      <c r="U5116" s="7"/>
      <c r="V5116" s="7"/>
      <c r="W5116" s="7"/>
      <c r="X5116" s="7"/>
      <c r="Y5116" s="7"/>
      <c r="Z5116" s="7"/>
    </row>
    <row r="5117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7"/>
      <c r="U5117" s="7"/>
      <c r="V5117" s="7"/>
      <c r="W5117" s="7"/>
      <c r="X5117" s="7"/>
      <c r="Y5117" s="7"/>
      <c r="Z5117" s="7"/>
    </row>
    <row r="5118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7"/>
      <c r="U5118" s="7"/>
      <c r="V5118" s="7"/>
      <c r="W5118" s="7"/>
      <c r="X5118" s="7"/>
      <c r="Y5118" s="7"/>
      <c r="Z5118" s="7"/>
    </row>
    <row r="5119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7"/>
      <c r="U5119" s="7"/>
      <c r="V5119" s="7"/>
      <c r="W5119" s="7"/>
      <c r="X5119" s="7"/>
      <c r="Y5119" s="7"/>
      <c r="Z5119" s="7"/>
    </row>
    <row r="5120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7"/>
      <c r="U5120" s="7"/>
      <c r="V5120" s="7"/>
      <c r="W5120" s="7"/>
      <c r="X5120" s="7"/>
      <c r="Y5120" s="7"/>
      <c r="Z5120" s="7"/>
    </row>
    <row r="5121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7"/>
      <c r="U5121" s="7"/>
      <c r="V5121" s="7"/>
      <c r="W5121" s="7"/>
      <c r="X5121" s="7"/>
      <c r="Y5121" s="7"/>
      <c r="Z5121" s="7"/>
    </row>
    <row r="5122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7"/>
      <c r="U5122" s="7"/>
      <c r="V5122" s="7"/>
      <c r="W5122" s="7"/>
      <c r="X5122" s="7"/>
      <c r="Y5122" s="7"/>
      <c r="Z5122" s="7"/>
    </row>
    <row r="5123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7"/>
      <c r="U5123" s="7"/>
      <c r="V5123" s="7"/>
      <c r="W5123" s="7"/>
      <c r="X5123" s="7"/>
      <c r="Y5123" s="7"/>
      <c r="Z5123" s="7"/>
    </row>
    <row r="5124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7"/>
      <c r="U5124" s="7"/>
      <c r="V5124" s="7"/>
      <c r="W5124" s="7"/>
      <c r="X5124" s="7"/>
      <c r="Y5124" s="7"/>
      <c r="Z5124" s="7"/>
    </row>
    <row r="51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7"/>
      <c r="U5125" s="7"/>
      <c r="V5125" s="7"/>
      <c r="W5125" s="7"/>
      <c r="X5125" s="7"/>
      <c r="Y5125" s="7"/>
      <c r="Z5125" s="7"/>
    </row>
    <row r="5126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7"/>
      <c r="U5126" s="7"/>
      <c r="V5126" s="7"/>
      <c r="W5126" s="7"/>
      <c r="X5126" s="7"/>
      <c r="Y5126" s="7"/>
      <c r="Z5126" s="7"/>
    </row>
    <row r="5127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7"/>
      <c r="U5127" s="7"/>
      <c r="V5127" s="7"/>
      <c r="W5127" s="7"/>
      <c r="X5127" s="7"/>
      <c r="Y5127" s="7"/>
      <c r="Z5127" s="7"/>
    </row>
    <row r="5128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7"/>
      <c r="U5128" s="7"/>
      <c r="V5128" s="7"/>
      <c r="W5128" s="7"/>
      <c r="X5128" s="7"/>
      <c r="Y5128" s="7"/>
      <c r="Z5128" s="7"/>
    </row>
    <row r="5129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7"/>
      <c r="U5129" s="7"/>
      <c r="V5129" s="7"/>
      <c r="W5129" s="7"/>
      <c r="X5129" s="7"/>
      <c r="Y5129" s="7"/>
      <c r="Z5129" s="7"/>
    </row>
    <row r="5130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7"/>
      <c r="U5130" s="7"/>
      <c r="V5130" s="7"/>
      <c r="W5130" s="7"/>
      <c r="X5130" s="7"/>
      <c r="Y5130" s="7"/>
      <c r="Z5130" s="7"/>
    </row>
    <row r="5131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7"/>
      <c r="U5131" s="7"/>
      <c r="V5131" s="7"/>
      <c r="W5131" s="7"/>
      <c r="X5131" s="7"/>
      <c r="Y5131" s="7"/>
      <c r="Z5131" s="7"/>
    </row>
    <row r="5132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7"/>
      <c r="U5132" s="7"/>
      <c r="V5132" s="7"/>
      <c r="W5132" s="7"/>
      <c r="X5132" s="7"/>
      <c r="Y5132" s="7"/>
      <c r="Z5132" s="7"/>
    </row>
    <row r="5133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7"/>
      <c r="U5133" s="7"/>
      <c r="V5133" s="7"/>
      <c r="W5133" s="7"/>
      <c r="X5133" s="7"/>
      <c r="Y5133" s="7"/>
      <c r="Z5133" s="7"/>
    </row>
    <row r="5134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7"/>
      <c r="U5134" s="7"/>
      <c r="V5134" s="7"/>
      <c r="W5134" s="7"/>
      <c r="X5134" s="7"/>
      <c r="Y5134" s="7"/>
      <c r="Z5134" s="7"/>
    </row>
    <row r="513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7"/>
      <c r="U5135" s="7"/>
      <c r="V5135" s="7"/>
      <c r="W5135" s="7"/>
      <c r="X5135" s="7"/>
      <c r="Y5135" s="7"/>
      <c r="Z5135" s="7"/>
    </row>
    <row r="5136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7"/>
      <c r="U5136" s="7"/>
      <c r="V5136" s="7"/>
      <c r="W5136" s="7"/>
      <c r="X5136" s="7"/>
      <c r="Y5136" s="7"/>
      <c r="Z5136" s="7"/>
    </row>
    <row r="5137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7"/>
      <c r="U5137" s="7"/>
      <c r="V5137" s="7"/>
      <c r="W5137" s="7"/>
      <c r="X5137" s="7"/>
      <c r="Y5137" s="7"/>
      <c r="Z5137" s="7"/>
    </row>
    <row r="5138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7"/>
      <c r="U5138" s="7"/>
      <c r="V5138" s="7"/>
      <c r="W5138" s="7"/>
      <c r="X5138" s="7"/>
      <c r="Y5138" s="7"/>
      <c r="Z5138" s="7"/>
    </row>
    <row r="5139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7"/>
      <c r="U5139" s="7"/>
      <c r="V5139" s="7"/>
      <c r="W5139" s="7"/>
      <c r="X5139" s="7"/>
      <c r="Y5139" s="7"/>
      <c r="Z5139" s="7"/>
    </row>
    <row r="5140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7"/>
      <c r="U5140" s="7"/>
      <c r="V5140" s="7"/>
      <c r="W5140" s="7"/>
      <c r="X5140" s="7"/>
      <c r="Y5140" s="7"/>
      <c r="Z5140" s="7"/>
    </row>
    <row r="5141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7"/>
      <c r="U5141" s="7"/>
      <c r="V5141" s="7"/>
      <c r="W5141" s="7"/>
      <c r="X5141" s="7"/>
      <c r="Y5141" s="7"/>
      <c r="Z5141" s="7"/>
    </row>
    <row r="5142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7"/>
      <c r="U5142" s="7"/>
      <c r="V5142" s="7"/>
      <c r="W5142" s="7"/>
      <c r="X5142" s="7"/>
      <c r="Y5142" s="7"/>
      <c r="Z5142" s="7"/>
    </row>
    <row r="5143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7"/>
      <c r="U5143" s="7"/>
      <c r="V5143" s="7"/>
      <c r="W5143" s="7"/>
      <c r="X5143" s="7"/>
      <c r="Y5143" s="7"/>
      <c r="Z5143" s="7"/>
    </row>
    <row r="5144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7"/>
      <c r="U5144" s="7"/>
      <c r="V5144" s="7"/>
      <c r="W5144" s="7"/>
      <c r="X5144" s="7"/>
      <c r="Y5144" s="7"/>
      <c r="Z5144" s="7"/>
    </row>
    <row r="514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7"/>
      <c r="U5145" s="7"/>
      <c r="V5145" s="7"/>
      <c r="W5145" s="7"/>
      <c r="X5145" s="7"/>
      <c r="Y5145" s="7"/>
      <c r="Z5145" s="7"/>
    </row>
    <row r="5146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7"/>
      <c r="U5146" s="7"/>
      <c r="V5146" s="7"/>
      <c r="W5146" s="7"/>
      <c r="X5146" s="7"/>
      <c r="Y5146" s="7"/>
      <c r="Z5146" s="7"/>
    </row>
    <row r="5147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7"/>
      <c r="U5147" s="7"/>
      <c r="V5147" s="7"/>
      <c r="W5147" s="7"/>
      <c r="X5147" s="7"/>
      <c r="Y5147" s="7"/>
      <c r="Z5147" s="7"/>
    </row>
    <row r="5148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7"/>
      <c r="U5148" s="7"/>
      <c r="V5148" s="7"/>
      <c r="W5148" s="7"/>
      <c r="X5148" s="7"/>
      <c r="Y5148" s="7"/>
      <c r="Z5148" s="7"/>
    </row>
    <row r="5149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7"/>
      <c r="U5149" s="7"/>
      <c r="V5149" s="7"/>
      <c r="W5149" s="7"/>
      <c r="X5149" s="7"/>
      <c r="Y5149" s="7"/>
      <c r="Z5149" s="7"/>
    </row>
    <row r="5150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7"/>
      <c r="U5150" s="7"/>
      <c r="V5150" s="7"/>
      <c r="W5150" s="7"/>
      <c r="X5150" s="7"/>
      <c r="Y5150" s="7"/>
      <c r="Z5150" s="7"/>
    </row>
    <row r="5151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7"/>
      <c r="U5151" s="7"/>
      <c r="V5151" s="7"/>
      <c r="W5151" s="7"/>
      <c r="X5151" s="7"/>
      <c r="Y5151" s="7"/>
      <c r="Z5151" s="7"/>
    </row>
    <row r="5152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7"/>
      <c r="U5152" s="7"/>
      <c r="V5152" s="7"/>
      <c r="W5152" s="7"/>
      <c r="X5152" s="7"/>
      <c r="Y5152" s="7"/>
      <c r="Z5152" s="7"/>
    </row>
    <row r="5153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7"/>
      <c r="U5153" s="7"/>
      <c r="V5153" s="7"/>
      <c r="W5153" s="7"/>
      <c r="X5153" s="7"/>
      <c r="Y5153" s="7"/>
      <c r="Z5153" s="7"/>
    </row>
    <row r="5154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7"/>
      <c r="U5154" s="7"/>
      <c r="V5154" s="7"/>
      <c r="W5154" s="7"/>
      <c r="X5154" s="7"/>
      <c r="Y5154" s="7"/>
      <c r="Z5154" s="7"/>
    </row>
    <row r="515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7"/>
      <c r="U5155" s="7"/>
      <c r="V5155" s="7"/>
      <c r="W5155" s="7"/>
      <c r="X5155" s="7"/>
      <c r="Y5155" s="7"/>
      <c r="Z5155" s="7"/>
    </row>
    <row r="5156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7"/>
      <c r="U5156" s="7"/>
      <c r="V5156" s="7"/>
      <c r="W5156" s="7"/>
      <c r="X5156" s="7"/>
      <c r="Y5156" s="7"/>
      <c r="Z5156" s="7"/>
    </row>
    <row r="5157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7"/>
      <c r="U5157" s="7"/>
      <c r="V5157" s="7"/>
      <c r="W5157" s="7"/>
      <c r="X5157" s="7"/>
      <c r="Y5157" s="7"/>
      <c r="Z5157" s="7"/>
    </row>
    <row r="5158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7"/>
      <c r="U5158" s="7"/>
      <c r="V5158" s="7"/>
      <c r="W5158" s="7"/>
      <c r="X5158" s="7"/>
      <c r="Y5158" s="7"/>
      <c r="Z5158" s="7"/>
    </row>
    <row r="5159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7"/>
      <c r="U5159" s="7"/>
      <c r="V5159" s="7"/>
      <c r="W5159" s="7"/>
      <c r="X5159" s="7"/>
      <c r="Y5159" s="7"/>
      <c r="Z5159" s="7"/>
    </row>
    <row r="5160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7"/>
      <c r="U5160" s="7"/>
      <c r="V5160" s="7"/>
      <c r="W5160" s="7"/>
      <c r="X5160" s="7"/>
      <c r="Y5160" s="7"/>
      <c r="Z5160" s="7"/>
    </row>
    <row r="5161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7"/>
      <c r="U5161" s="7"/>
      <c r="V5161" s="7"/>
      <c r="W5161" s="7"/>
      <c r="X5161" s="7"/>
      <c r="Y5161" s="7"/>
      <c r="Z5161" s="7"/>
    </row>
    <row r="5162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7"/>
      <c r="U5162" s="7"/>
      <c r="V5162" s="7"/>
      <c r="W5162" s="7"/>
      <c r="X5162" s="7"/>
      <c r="Y5162" s="7"/>
      <c r="Z5162" s="7"/>
    </row>
    <row r="5163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7"/>
      <c r="U5163" s="7"/>
      <c r="V5163" s="7"/>
      <c r="W5163" s="7"/>
      <c r="X5163" s="7"/>
      <c r="Y5163" s="7"/>
      <c r="Z5163" s="7"/>
    </row>
    <row r="5164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7"/>
      <c r="U5164" s="7"/>
      <c r="V5164" s="7"/>
      <c r="W5164" s="7"/>
      <c r="X5164" s="7"/>
      <c r="Y5164" s="7"/>
      <c r="Z5164" s="7"/>
    </row>
    <row r="516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7"/>
      <c r="U5165" s="7"/>
      <c r="V5165" s="7"/>
      <c r="W5165" s="7"/>
      <c r="X5165" s="7"/>
      <c r="Y5165" s="7"/>
      <c r="Z5165" s="7"/>
    </row>
    <row r="5166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7"/>
      <c r="U5166" s="7"/>
      <c r="V5166" s="7"/>
      <c r="W5166" s="7"/>
      <c r="X5166" s="7"/>
      <c r="Y5166" s="7"/>
      <c r="Z5166" s="7"/>
    </row>
    <row r="5167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7"/>
      <c r="U5167" s="7"/>
      <c r="V5167" s="7"/>
      <c r="W5167" s="7"/>
      <c r="X5167" s="7"/>
      <c r="Y5167" s="7"/>
      <c r="Z5167" s="7"/>
    </row>
    <row r="5168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7"/>
      <c r="U5168" s="7"/>
      <c r="V5168" s="7"/>
      <c r="W5168" s="7"/>
      <c r="X5168" s="7"/>
      <c r="Y5168" s="7"/>
      <c r="Z5168" s="7"/>
    </row>
    <row r="5169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7"/>
      <c r="U5169" s="7"/>
      <c r="V5169" s="7"/>
      <c r="W5169" s="7"/>
      <c r="X5169" s="7"/>
      <c r="Y5169" s="7"/>
      <c r="Z5169" s="7"/>
    </row>
    <row r="5170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7"/>
      <c r="U5170" s="7"/>
      <c r="V5170" s="7"/>
      <c r="W5170" s="7"/>
      <c r="X5170" s="7"/>
      <c r="Y5170" s="7"/>
      <c r="Z5170" s="7"/>
    </row>
    <row r="5171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7"/>
      <c r="U5171" s="7"/>
      <c r="V5171" s="7"/>
      <c r="W5171" s="7"/>
      <c r="X5171" s="7"/>
      <c r="Y5171" s="7"/>
      <c r="Z5171" s="7"/>
    </row>
    <row r="5172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7"/>
      <c r="U5172" s="7"/>
      <c r="V5172" s="7"/>
      <c r="W5172" s="7"/>
      <c r="X5172" s="7"/>
      <c r="Y5172" s="7"/>
      <c r="Z5172" s="7"/>
    </row>
    <row r="5173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7"/>
      <c r="U5173" s="7"/>
      <c r="V5173" s="7"/>
      <c r="W5173" s="7"/>
      <c r="X5173" s="7"/>
      <c r="Y5173" s="7"/>
      <c r="Z5173" s="7"/>
    </row>
    <row r="5174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7"/>
      <c r="U5174" s="7"/>
      <c r="V5174" s="7"/>
      <c r="W5174" s="7"/>
      <c r="X5174" s="7"/>
      <c r="Y5174" s="7"/>
      <c r="Z5174" s="7"/>
    </row>
    <row r="517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7"/>
      <c r="U5175" s="7"/>
      <c r="V5175" s="7"/>
      <c r="W5175" s="7"/>
      <c r="X5175" s="7"/>
      <c r="Y5175" s="7"/>
      <c r="Z5175" s="7"/>
    </row>
    <row r="5176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7"/>
      <c r="U5176" s="7"/>
      <c r="V5176" s="7"/>
      <c r="W5176" s="7"/>
      <c r="X5176" s="7"/>
      <c r="Y5176" s="7"/>
      <c r="Z5176" s="7"/>
    </row>
    <row r="5177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7"/>
      <c r="U5177" s="7"/>
      <c r="V5177" s="7"/>
      <c r="W5177" s="7"/>
      <c r="X5177" s="7"/>
      <c r="Y5177" s="7"/>
      <c r="Z5177" s="7"/>
    </row>
    <row r="5178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7"/>
      <c r="U5178" s="7"/>
      <c r="V5178" s="7"/>
      <c r="W5178" s="7"/>
      <c r="X5178" s="7"/>
      <c r="Y5178" s="7"/>
      <c r="Z5178" s="7"/>
    </row>
    <row r="5179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7"/>
      <c r="U5179" s="7"/>
      <c r="V5179" s="7"/>
      <c r="W5179" s="7"/>
      <c r="X5179" s="7"/>
      <c r="Y5179" s="7"/>
      <c r="Z5179" s="7"/>
    </row>
    <row r="5180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7"/>
      <c r="U5180" s="7"/>
      <c r="V5180" s="7"/>
      <c r="W5180" s="7"/>
      <c r="X5180" s="7"/>
      <c r="Y5180" s="7"/>
      <c r="Z5180" s="7"/>
    </row>
    <row r="5181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7"/>
      <c r="U5181" s="7"/>
      <c r="V5181" s="7"/>
      <c r="W5181" s="7"/>
      <c r="X5181" s="7"/>
      <c r="Y5181" s="7"/>
      <c r="Z5181" s="7"/>
    </row>
    <row r="5182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7"/>
      <c r="U5182" s="7"/>
      <c r="V5182" s="7"/>
      <c r="W5182" s="7"/>
      <c r="X5182" s="7"/>
      <c r="Y5182" s="7"/>
      <c r="Z5182" s="7"/>
    </row>
    <row r="5183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7"/>
      <c r="U5183" s="7"/>
      <c r="V5183" s="7"/>
      <c r="W5183" s="7"/>
      <c r="X5183" s="7"/>
      <c r="Y5183" s="7"/>
      <c r="Z5183" s="7"/>
    </row>
    <row r="5184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7"/>
      <c r="U5184" s="7"/>
      <c r="V5184" s="7"/>
      <c r="W5184" s="7"/>
      <c r="X5184" s="7"/>
      <c r="Y5184" s="7"/>
      <c r="Z5184" s="7"/>
    </row>
    <row r="518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7"/>
      <c r="U5185" s="7"/>
      <c r="V5185" s="7"/>
      <c r="W5185" s="7"/>
      <c r="X5185" s="7"/>
      <c r="Y5185" s="7"/>
      <c r="Z5185" s="7"/>
    </row>
    <row r="5186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7"/>
      <c r="U5186" s="7"/>
      <c r="V5186" s="7"/>
      <c r="W5186" s="7"/>
      <c r="X5186" s="7"/>
      <c r="Y5186" s="7"/>
      <c r="Z5186" s="7"/>
    </row>
    <row r="5187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7"/>
      <c r="U5187" s="7"/>
      <c r="V5187" s="7"/>
      <c r="W5187" s="7"/>
      <c r="X5187" s="7"/>
      <c r="Y5187" s="7"/>
      <c r="Z5187" s="7"/>
    </row>
    <row r="5188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7"/>
      <c r="U5188" s="7"/>
      <c r="V5188" s="7"/>
      <c r="W5188" s="7"/>
      <c r="X5188" s="7"/>
      <c r="Y5188" s="7"/>
      <c r="Z5188" s="7"/>
    </row>
    <row r="5189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7"/>
      <c r="U5189" s="7"/>
      <c r="V5189" s="7"/>
      <c r="W5189" s="7"/>
      <c r="X5189" s="7"/>
      <c r="Y5189" s="7"/>
      <c r="Z5189" s="7"/>
    </row>
    <row r="5190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7"/>
      <c r="U5190" s="7"/>
      <c r="V5190" s="7"/>
      <c r="W5190" s="7"/>
      <c r="X5190" s="7"/>
      <c r="Y5190" s="7"/>
      <c r="Z5190" s="7"/>
    </row>
    <row r="5191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7"/>
      <c r="U5191" s="7"/>
      <c r="V5191" s="7"/>
      <c r="W5191" s="7"/>
      <c r="X5191" s="7"/>
      <c r="Y5191" s="7"/>
      <c r="Z5191" s="7"/>
    </row>
    <row r="5192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7"/>
      <c r="U5192" s="7"/>
      <c r="V5192" s="7"/>
      <c r="W5192" s="7"/>
      <c r="X5192" s="7"/>
      <c r="Y5192" s="7"/>
      <c r="Z5192" s="7"/>
    </row>
    <row r="5193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7"/>
      <c r="U5193" s="7"/>
      <c r="V5193" s="7"/>
      <c r="W5193" s="7"/>
      <c r="X5193" s="7"/>
      <c r="Y5193" s="7"/>
      <c r="Z5193" s="7"/>
    </row>
    <row r="5194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7"/>
      <c r="U5194" s="7"/>
      <c r="V5194" s="7"/>
      <c r="W5194" s="7"/>
      <c r="X5194" s="7"/>
      <c r="Y5194" s="7"/>
      <c r="Z5194" s="7"/>
    </row>
    <row r="519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7"/>
      <c r="U5195" s="7"/>
      <c r="V5195" s="7"/>
      <c r="W5195" s="7"/>
      <c r="X5195" s="7"/>
      <c r="Y5195" s="7"/>
      <c r="Z5195" s="7"/>
    </row>
    <row r="5196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7"/>
      <c r="U5196" s="7"/>
      <c r="V5196" s="7"/>
      <c r="W5196" s="7"/>
      <c r="X5196" s="7"/>
      <c r="Y5196" s="7"/>
      <c r="Z5196" s="7"/>
    </row>
    <row r="5197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7"/>
      <c r="U5197" s="7"/>
      <c r="V5197" s="7"/>
      <c r="W5197" s="7"/>
      <c r="X5197" s="7"/>
      <c r="Y5197" s="7"/>
      <c r="Z5197" s="7"/>
    </row>
    <row r="5198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7"/>
      <c r="U5198" s="7"/>
      <c r="V5198" s="7"/>
      <c r="W5198" s="7"/>
      <c r="X5198" s="7"/>
      <c r="Y5198" s="7"/>
      <c r="Z5198" s="7"/>
    </row>
    <row r="5199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7"/>
      <c r="U5199" s="7"/>
      <c r="V5199" s="7"/>
      <c r="W5199" s="7"/>
      <c r="X5199" s="7"/>
      <c r="Y5199" s="7"/>
      <c r="Z5199" s="7"/>
    </row>
    <row r="5200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7"/>
      <c r="U5200" s="7"/>
      <c r="V5200" s="7"/>
      <c r="W5200" s="7"/>
      <c r="X5200" s="7"/>
      <c r="Y5200" s="7"/>
      <c r="Z5200" s="7"/>
    </row>
    <row r="5201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7"/>
      <c r="U5201" s="7"/>
      <c r="V5201" s="7"/>
      <c r="W5201" s="7"/>
      <c r="X5201" s="7"/>
      <c r="Y5201" s="7"/>
      <c r="Z5201" s="7"/>
    </row>
    <row r="5202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7"/>
      <c r="U5202" s="7"/>
      <c r="V5202" s="7"/>
      <c r="W5202" s="7"/>
      <c r="X5202" s="7"/>
      <c r="Y5202" s="7"/>
      <c r="Z5202" s="7"/>
    </row>
    <row r="5203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7"/>
      <c r="U5203" s="7"/>
      <c r="V5203" s="7"/>
      <c r="W5203" s="7"/>
      <c r="X5203" s="7"/>
      <c r="Y5203" s="7"/>
      <c r="Z5203" s="7"/>
    </row>
    <row r="5204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7"/>
      <c r="U5204" s="7"/>
      <c r="V5204" s="7"/>
      <c r="W5204" s="7"/>
      <c r="X5204" s="7"/>
      <c r="Y5204" s="7"/>
      <c r="Z5204" s="7"/>
    </row>
    <row r="520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7"/>
      <c r="U5205" s="7"/>
      <c r="V5205" s="7"/>
      <c r="W5205" s="7"/>
      <c r="X5205" s="7"/>
      <c r="Y5205" s="7"/>
      <c r="Z5205" s="7"/>
    </row>
    <row r="5206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7"/>
      <c r="U5206" s="7"/>
      <c r="V5206" s="7"/>
      <c r="W5206" s="7"/>
      <c r="X5206" s="7"/>
      <c r="Y5206" s="7"/>
      <c r="Z5206" s="7"/>
    </row>
    <row r="5207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7"/>
      <c r="U5207" s="7"/>
      <c r="V5207" s="7"/>
      <c r="W5207" s="7"/>
      <c r="X5207" s="7"/>
      <c r="Y5207" s="7"/>
      <c r="Z5207" s="7"/>
    </row>
    <row r="5208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7"/>
      <c r="U5208" s="7"/>
      <c r="V5208" s="7"/>
      <c r="W5208" s="7"/>
      <c r="X5208" s="7"/>
      <c r="Y5208" s="7"/>
      <c r="Z5208" s="7"/>
    </row>
    <row r="5209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7"/>
      <c r="U5209" s="7"/>
      <c r="V5209" s="7"/>
      <c r="W5209" s="7"/>
      <c r="X5209" s="7"/>
      <c r="Y5209" s="7"/>
      <c r="Z5209" s="7"/>
    </row>
    <row r="5210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7"/>
      <c r="U5210" s="7"/>
      <c r="V5210" s="7"/>
      <c r="W5210" s="7"/>
      <c r="X5210" s="7"/>
      <c r="Y5210" s="7"/>
      <c r="Z5210" s="7"/>
    </row>
    <row r="5211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7"/>
      <c r="U5211" s="7"/>
      <c r="V5211" s="7"/>
      <c r="W5211" s="7"/>
      <c r="X5211" s="7"/>
      <c r="Y5211" s="7"/>
      <c r="Z5211" s="7"/>
    </row>
    <row r="5212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7"/>
      <c r="U5212" s="7"/>
      <c r="V5212" s="7"/>
      <c r="W5212" s="7"/>
      <c r="X5212" s="7"/>
      <c r="Y5212" s="7"/>
      <c r="Z5212" s="7"/>
    </row>
    <row r="5213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7"/>
      <c r="U5213" s="7"/>
      <c r="V5213" s="7"/>
      <c r="W5213" s="7"/>
      <c r="X5213" s="7"/>
      <c r="Y5213" s="7"/>
      <c r="Z5213" s="7"/>
    </row>
    <row r="5214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7"/>
      <c r="U5214" s="7"/>
      <c r="V5214" s="7"/>
      <c r="W5214" s="7"/>
      <c r="X5214" s="7"/>
      <c r="Y5214" s="7"/>
      <c r="Z5214" s="7"/>
    </row>
    <row r="521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7"/>
      <c r="U5215" s="7"/>
      <c r="V5215" s="7"/>
      <c r="W5215" s="7"/>
      <c r="X5215" s="7"/>
      <c r="Y5215" s="7"/>
      <c r="Z5215" s="7"/>
    </row>
    <row r="5216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7"/>
      <c r="U5216" s="7"/>
      <c r="V5216" s="7"/>
      <c r="W5216" s="7"/>
      <c r="X5216" s="7"/>
      <c r="Y5216" s="7"/>
      <c r="Z5216" s="7"/>
    </row>
    <row r="5217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7"/>
      <c r="U5217" s="7"/>
      <c r="V5217" s="7"/>
      <c r="W5217" s="7"/>
      <c r="X5217" s="7"/>
      <c r="Y5217" s="7"/>
      <c r="Z5217" s="7"/>
    </row>
    <row r="5218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7"/>
      <c r="U5218" s="7"/>
      <c r="V5218" s="7"/>
      <c r="W5218" s="7"/>
      <c r="X5218" s="7"/>
      <c r="Y5218" s="7"/>
      <c r="Z5218" s="7"/>
    </row>
    <row r="5219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7"/>
      <c r="U5219" s="7"/>
      <c r="V5219" s="7"/>
      <c r="W5219" s="7"/>
      <c r="X5219" s="7"/>
      <c r="Y5219" s="7"/>
      <c r="Z5219" s="7"/>
    </row>
    <row r="5220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7"/>
      <c r="U5220" s="7"/>
      <c r="V5220" s="7"/>
      <c r="W5220" s="7"/>
      <c r="X5220" s="7"/>
      <c r="Y5220" s="7"/>
      <c r="Z5220" s="7"/>
    </row>
    <row r="5221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7"/>
      <c r="U5221" s="7"/>
      <c r="V5221" s="7"/>
      <c r="W5221" s="7"/>
      <c r="X5221" s="7"/>
      <c r="Y5221" s="7"/>
      <c r="Z5221" s="7"/>
    </row>
    <row r="5222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7"/>
      <c r="U5222" s="7"/>
      <c r="V5222" s="7"/>
      <c r="W5222" s="7"/>
      <c r="X5222" s="7"/>
      <c r="Y5222" s="7"/>
      <c r="Z5222" s="7"/>
    </row>
    <row r="5223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7"/>
      <c r="U5223" s="7"/>
      <c r="V5223" s="7"/>
      <c r="W5223" s="7"/>
      <c r="X5223" s="7"/>
      <c r="Y5223" s="7"/>
      <c r="Z5223" s="7"/>
    </row>
    <row r="5224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7"/>
      <c r="U5224" s="7"/>
      <c r="V5224" s="7"/>
      <c r="W5224" s="7"/>
      <c r="X5224" s="7"/>
      <c r="Y5224" s="7"/>
      <c r="Z5224" s="7"/>
    </row>
    <row r="52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7"/>
      <c r="U5225" s="7"/>
      <c r="V5225" s="7"/>
      <c r="W5225" s="7"/>
      <c r="X5225" s="7"/>
      <c r="Y5225" s="7"/>
      <c r="Z5225" s="7"/>
    </row>
    <row r="5226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7"/>
      <c r="U5226" s="7"/>
      <c r="V5226" s="7"/>
      <c r="W5226" s="7"/>
      <c r="X5226" s="7"/>
      <c r="Y5226" s="7"/>
      <c r="Z5226" s="7"/>
    </row>
    <row r="5227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7"/>
      <c r="U5227" s="7"/>
      <c r="V5227" s="7"/>
      <c r="W5227" s="7"/>
      <c r="X5227" s="7"/>
      <c r="Y5227" s="7"/>
      <c r="Z5227" s="7"/>
    </row>
    <row r="5228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7"/>
      <c r="U5228" s="7"/>
      <c r="V5228" s="7"/>
      <c r="W5228" s="7"/>
      <c r="X5228" s="7"/>
      <c r="Y5228" s="7"/>
      <c r="Z5228" s="7"/>
    </row>
    <row r="5229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7"/>
      <c r="U5229" s="7"/>
      <c r="V5229" s="7"/>
      <c r="W5229" s="7"/>
      <c r="X5229" s="7"/>
      <c r="Y5229" s="7"/>
      <c r="Z5229" s="7"/>
    </row>
    <row r="5230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7"/>
      <c r="U5230" s="7"/>
      <c r="V5230" s="7"/>
      <c r="W5230" s="7"/>
      <c r="X5230" s="7"/>
      <c r="Y5230" s="7"/>
      <c r="Z5230" s="7"/>
    </row>
    <row r="5231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7"/>
      <c r="U5231" s="7"/>
      <c r="V5231" s="7"/>
      <c r="W5231" s="7"/>
      <c r="X5231" s="7"/>
      <c r="Y5231" s="7"/>
      <c r="Z5231" s="7"/>
    </row>
    <row r="5232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7"/>
      <c r="U5232" s="7"/>
      <c r="V5232" s="7"/>
      <c r="W5232" s="7"/>
      <c r="X5232" s="7"/>
      <c r="Y5232" s="7"/>
      <c r="Z5232" s="7"/>
    </row>
    <row r="5233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7"/>
      <c r="U5233" s="7"/>
      <c r="V5233" s="7"/>
      <c r="W5233" s="7"/>
      <c r="X5233" s="7"/>
      <c r="Y5233" s="7"/>
      <c r="Z5233" s="7"/>
    </row>
    <row r="5234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7"/>
      <c r="U5234" s="7"/>
      <c r="V5234" s="7"/>
      <c r="W5234" s="7"/>
      <c r="X5234" s="7"/>
      <c r="Y5234" s="7"/>
      <c r="Z5234" s="7"/>
    </row>
    <row r="523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7"/>
      <c r="U5235" s="7"/>
      <c r="V5235" s="7"/>
      <c r="W5235" s="7"/>
      <c r="X5235" s="7"/>
      <c r="Y5235" s="7"/>
      <c r="Z5235" s="7"/>
    </row>
    <row r="5236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7"/>
      <c r="U5236" s="7"/>
      <c r="V5236" s="7"/>
      <c r="W5236" s="7"/>
      <c r="X5236" s="7"/>
      <c r="Y5236" s="7"/>
      <c r="Z5236" s="7"/>
    </row>
    <row r="5237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7"/>
      <c r="U5237" s="7"/>
      <c r="V5237" s="7"/>
      <c r="W5237" s="7"/>
      <c r="X5237" s="7"/>
      <c r="Y5237" s="7"/>
      <c r="Z5237" s="7"/>
    </row>
    <row r="5238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7"/>
      <c r="U5238" s="7"/>
      <c r="V5238" s="7"/>
      <c r="W5238" s="7"/>
      <c r="X5238" s="7"/>
      <c r="Y5238" s="7"/>
      <c r="Z5238" s="7"/>
    </row>
    <row r="5239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7"/>
      <c r="U5239" s="7"/>
      <c r="V5239" s="7"/>
      <c r="W5239" s="7"/>
      <c r="X5239" s="7"/>
      <c r="Y5239" s="7"/>
      <c r="Z5239" s="7"/>
    </row>
    <row r="5240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7"/>
      <c r="U5240" s="7"/>
      <c r="V5240" s="7"/>
      <c r="W5240" s="7"/>
      <c r="X5240" s="7"/>
      <c r="Y5240" s="7"/>
      <c r="Z5240" s="7"/>
    </row>
    <row r="5241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7"/>
      <c r="U5241" s="7"/>
      <c r="V5241" s="7"/>
      <c r="W5241" s="7"/>
      <c r="X5241" s="7"/>
      <c r="Y5241" s="7"/>
      <c r="Z5241" s="7"/>
    </row>
    <row r="5242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7"/>
      <c r="U5242" s="7"/>
      <c r="V5242" s="7"/>
      <c r="W5242" s="7"/>
      <c r="X5242" s="7"/>
      <c r="Y5242" s="7"/>
      <c r="Z5242" s="7"/>
    </row>
    <row r="5243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7"/>
      <c r="U5243" s="7"/>
      <c r="V5243" s="7"/>
      <c r="W5243" s="7"/>
      <c r="X5243" s="7"/>
      <c r="Y5243" s="7"/>
      <c r="Z5243" s="7"/>
    </row>
    <row r="5244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7"/>
      <c r="U5244" s="7"/>
      <c r="V5244" s="7"/>
      <c r="W5244" s="7"/>
      <c r="X5244" s="7"/>
      <c r="Y5244" s="7"/>
      <c r="Z5244" s="7"/>
    </row>
    <row r="524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7"/>
      <c r="U5245" s="7"/>
      <c r="V5245" s="7"/>
      <c r="W5245" s="7"/>
      <c r="X5245" s="7"/>
      <c r="Y5245" s="7"/>
      <c r="Z5245" s="7"/>
    </row>
    <row r="5246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7"/>
      <c r="U5246" s="7"/>
      <c r="V5246" s="7"/>
      <c r="W5246" s="7"/>
      <c r="X5246" s="7"/>
      <c r="Y5246" s="7"/>
      <c r="Z5246" s="7"/>
    </row>
    <row r="5247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7"/>
      <c r="U5247" s="7"/>
      <c r="V5247" s="7"/>
      <c r="W5247" s="7"/>
      <c r="X5247" s="7"/>
      <c r="Y5247" s="7"/>
      <c r="Z5247" s="7"/>
    </row>
    <row r="5248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7"/>
      <c r="U5248" s="7"/>
      <c r="V5248" s="7"/>
      <c r="W5248" s="7"/>
      <c r="X5248" s="7"/>
      <c r="Y5248" s="7"/>
      <c r="Z5248" s="7"/>
    </row>
    <row r="5249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7"/>
      <c r="U5249" s="7"/>
      <c r="V5249" s="7"/>
      <c r="W5249" s="7"/>
      <c r="X5249" s="7"/>
      <c r="Y5249" s="7"/>
      <c r="Z5249" s="7"/>
    </row>
    <row r="5250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7"/>
      <c r="U5250" s="7"/>
      <c r="V5250" s="7"/>
      <c r="W5250" s="7"/>
      <c r="X5250" s="7"/>
      <c r="Y5250" s="7"/>
      <c r="Z5250" s="7"/>
    </row>
    <row r="5251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7"/>
      <c r="U5251" s="7"/>
      <c r="V5251" s="7"/>
      <c r="W5251" s="7"/>
      <c r="X5251" s="7"/>
      <c r="Y5251" s="7"/>
      <c r="Z5251" s="7"/>
    </row>
    <row r="5252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7"/>
      <c r="U5252" s="7"/>
      <c r="V5252" s="7"/>
      <c r="W5252" s="7"/>
      <c r="X5252" s="7"/>
      <c r="Y5252" s="7"/>
      <c r="Z5252" s="7"/>
    </row>
    <row r="5253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7"/>
      <c r="U5253" s="7"/>
      <c r="V5253" s="7"/>
      <c r="W5253" s="7"/>
      <c r="X5253" s="7"/>
      <c r="Y5253" s="7"/>
      <c r="Z5253" s="7"/>
    </row>
    <row r="5254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7"/>
      <c r="U5254" s="7"/>
      <c r="V5254" s="7"/>
      <c r="W5254" s="7"/>
      <c r="X5254" s="7"/>
      <c r="Y5254" s="7"/>
      <c r="Z5254" s="7"/>
    </row>
    <row r="525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7"/>
      <c r="U5255" s="7"/>
      <c r="V5255" s="7"/>
      <c r="W5255" s="7"/>
      <c r="X5255" s="7"/>
      <c r="Y5255" s="7"/>
      <c r="Z5255" s="7"/>
    </row>
    <row r="5256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7"/>
      <c r="U5256" s="7"/>
      <c r="V5256" s="7"/>
      <c r="W5256" s="7"/>
      <c r="X5256" s="7"/>
      <c r="Y5256" s="7"/>
      <c r="Z5256" s="7"/>
    </row>
    <row r="5257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7"/>
      <c r="U5257" s="7"/>
      <c r="V5257" s="7"/>
      <c r="W5257" s="7"/>
      <c r="X5257" s="7"/>
      <c r="Y5257" s="7"/>
      <c r="Z5257" s="7"/>
    </row>
    <row r="5258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7"/>
      <c r="U5258" s="7"/>
      <c r="V5258" s="7"/>
      <c r="W5258" s="7"/>
      <c r="X5258" s="7"/>
      <c r="Y5258" s="7"/>
      <c r="Z5258" s="7"/>
    </row>
    <row r="5259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7"/>
      <c r="U5259" s="7"/>
      <c r="V5259" s="7"/>
      <c r="W5259" s="7"/>
      <c r="X5259" s="7"/>
      <c r="Y5259" s="7"/>
      <c r="Z5259" s="7"/>
    </row>
    <row r="5260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7"/>
      <c r="U5260" s="7"/>
      <c r="V5260" s="7"/>
      <c r="W5260" s="7"/>
      <c r="X5260" s="7"/>
      <c r="Y5260" s="7"/>
      <c r="Z5260" s="7"/>
    </row>
    <row r="5261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7"/>
      <c r="U5261" s="7"/>
      <c r="V5261" s="7"/>
      <c r="W5261" s="7"/>
      <c r="X5261" s="7"/>
      <c r="Y5261" s="7"/>
      <c r="Z5261" s="7"/>
    </row>
    <row r="5262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7"/>
      <c r="U5262" s="7"/>
      <c r="V5262" s="7"/>
      <c r="W5262" s="7"/>
      <c r="X5262" s="7"/>
      <c r="Y5262" s="7"/>
      <c r="Z5262" s="7"/>
    </row>
    <row r="5263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7"/>
      <c r="U5263" s="7"/>
      <c r="V5263" s="7"/>
      <c r="W5263" s="7"/>
      <c r="X5263" s="7"/>
      <c r="Y5263" s="7"/>
      <c r="Z5263" s="7"/>
    </row>
    <row r="5264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7"/>
      <c r="U5264" s="7"/>
      <c r="V5264" s="7"/>
      <c r="W5264" s="7"/>
      <c r="X5264" s="7"/>
      <c r="Y5264" s="7"/>
      <c r="Z5264" s="7"/>
    </row>
    <row r="526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7"/>
      <c r="U5265" s="7"/>
      <c r="V5265" s="7"/>
      <c r="W5265" s="7"/>
      <c r="X5265" s="7"/>
      <c r="Y5265" s="7"/>
      <c r="Z5265" s="7"/>
    </row>
    <row r="5266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7"/>
      <c r="U5266" s="7"/>
      <c r="V5266" s="7"/>
      <c r="W5266" s="7"/>
      <c r="X5266" s="7"/>
      <c r="Y5266" s="7"/>
      <c r="Z5266" s="7"/>
    </row>
    <row r="5267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7"/>
      <c r="U5267" s="7"/>
      <c r="V5267" s="7"/>
      <c r="W5267" s="7"/>
      <c r="X5267" s="7"/>
      <c r="Y5267" s="7"/>
      <c r="Z5267" s="7"/>
    </row>
    <row r="5268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7"/>
      <c r="U5268" s="7"/>
      <c r="V5268" s="7"/>
      <c r="W5268" s="7"/>
      <c r="X5268" s="7"/>
      <c r="Y5268" s="7"/>
      <c r="Z5268" s="7"/>
    </row>
    <row r="5269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7"/>
      <c r="U5269" s="7"/>
      <c r="V5269" s="7"/>
      <c r="W5269" s="7"/>
      <c r="X5269" s="7"/>
      <c r="Y5269" s="7"/>
      <c r="Z5269" s="7"/>
    </row>
    <row r="5270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7"/>
      <c r="U5270" s="7"/>
      <c r="V5270" s="7"/>
      <c r="W5270" s="7"/>
      <c r="X5270" s="7"/>
      <c r="Y5270" s="7"/>
      <c r="Z5270" s="7"/>
    </row>
    <row r="5271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7"/>
      <c r="U5271" s="7"/>
      <c r="V5271" s="7"/>
      <c r="W5271" s="7"/>
      <c r="X5271" s="7"/>
      <c r="Y5271" s="7"/>
      <c r="Z5271" s="7"/>
    </row>
    <row r="5272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7"/>
      <c r="U5272" s="7"/>
      <c r="V5272" s="7"/>
      <c r="W5272" s="7"/>
      <c r="X5272" s="7"/>
      <c r="Y5272" s="7"/>
      <c r="Z5272" s="7"/>
    </row>
    <row r="5273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7"/>
      <c r="U5273" s="7"/>
      <c r="V5273" s="7"/>
      <c r="W5273" s="7"/>
      <c r="X5273" s="7"/>
      <c r="Y5273" s="7"/>
      <c r="Z5273" s="7"/>
    </row>
    <row r="5274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7"/>
      <c r="U5274" s="7"/>
      <c r="V5274" s="7"/>
      <c r="W5274" s="7"/>
      <c r="X5274" s="7"/>
      <c r="Y5274" s="7"/>
      <c r="Z5274" s="7"/>
    </row>
    <row r="527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7"/>
      <c r="U5275" s="7"/>
      <c r="V5275" s="7"/>
      <c r="W5275" s="7"/>
      <c r="X5275" s="7"/>
      <c r="Y5275" s="7"/>
      <c r="Z5275" s="7"/>
    </row>
    <row r="5276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7"/>
      <c r="U5276" s="7"/>
      <c r="V5276" s="7"/>
      <c r="W5276" s="7"/>
      <c r="X5276" s="7"/>
      <c r="Y5276" s="7"/>
      <c r="Z5276" s="7"/>
    </row>
    <row r="5277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7"/>
      <c r="U5277" s="7"/>
      <c r="V5277" s="7"/>
      <c r="W5277" s="7"/>
      <c r="X5277" s="7"/>
      <c r="Y5277" s="7"/>
      <c r="Z5277" s="7"/>
    </row>
    <row r="5278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7"/>
      <c r="U5278" s="7"/>
      <c r="V5278" s="7"/>
      <c r="W5278" s="7"/>
      <c r="X5278" s="7"/>
      <c r="Y5278" s="7"/>
      <c r="Z5278" s="7"/>
    </row>
    <row r="5279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7"/>
      <c r="U5279" s="7"/>
      <c r="V5279" s="7"/>
      <c r="W5279" s="7"/>
      <c r="X5279" s="7"/>
      <c r="Y5279" s="7"/>
      <c r="Z5279" s="7"/>
    </row>
    <row r="5280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7"/>
      <c r="U5280" s="7"/>
      <c r="V5280" s="7"/>
      <c r="W5280" s="7"/>
      <c r="X5280" s="7"/>
      <c r="Y5280" s="7"/>
      <c r="Z5280" s="7"/>
    </row>
    <row r="5281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7"/>
      <c r="U5281" s="7"/>
      <c r="V5281" s="7"/>
      <c r="W5281" s="7"/>
      <c r="X5281" s="7"/>
      <c r="Y5281" s="7"/>
      <c r="Z5281" s="7"/>
    </row>
    <row r="5282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7"/>
      <c r="U5282" s="7"/>
      <c r="V5282" s="7"/>
      <c r="W5282" s="7"/>
      <c r="X5282" s="7"/>
      <c r="Y5282" s="7"/>
      <c r="Z5282" s="7"/>
    </row>
    <row r="5283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7"/>
      <c r="U5283" s="7"/>
      <c r="V5283" s="7"/>
      <c r="W5283" s="7"/>
      <c r="X5283" s="7"/>
      <c r="Y5283" s="7"/>
      <c r="Z5283" s="7"/>
    </row>
    <row r="5284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7"/>
      <c r="U5284" s="7"/>
      <c r="V5284" s="7"/>
      <c r="W5284" s="7"/>
      <c r="X5284" s="7"/>
      <c r="Y5284" s="7"/>
      <c r="Z5284" s="7"/>
    </row>
    <row r="528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7"/>
      <c r="U5285" s="7"/>
      <c r="V5285" s="7"/>
      <c r="W5285" s="7"/>
      <c r="X5285" s="7"/>
      <c r="Y5285" s="7"/>
      <c r="Z5285" s="7"/>
    </row>
    <row r="5286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7"/>
      <c r="U5286" s="7"/>
      <c r="V5286" s="7"/>
      <c r="W5286" s="7"/>
      <c r="X5286" s="7"/>
      <c r="Y5286" s="7"/>
      <c r="Z5286" s="7"/>
    </row>
    <row r="5287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7"/>
      <c r="U5287" s="7"/>
      <c r="V5287" s="7"/>
      <c r="W5287" s="7"/>
      <c r="X5287" s="7"/>
      <c r="Y5287" s="7"/>
      <c r="Z5287" s="7"/>
    </row>
    <row r="5288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7"/>
      <c r="U5288" s="7"/>
      <c r="V5288" s="7"/>
      <c r="W5288" s="7"/>
      <c r="X5288" s="7"/>
      <c r="Y5288" s="7"/>
      <c r="Z5288" s="7"/>
    </row>
    <row r="5289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7"/>
      <c r="U5289" s="7"/>
      <c r="V5289" s="7"/>
      <c r="W5289" s="7"/>
      <c r="X5289" s="7"/>
      <c r="Y5289" s="7"/>
      <c r="Z5289" s="7"/>
    </row>
    <row r="5290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7"/>
      <c r="U5290" s="7"/>
      <c r="V5290" s="7"/>
      <c r="W5290" s="7"/>
      <c r="X5290" s="7"/>
      <c r="Y5290" s="7"/>
      <c r="Z5290" s="7"/>
    </row>
    <row r="5291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7"/>
      <c r="U5291" s="7"/>
      <c r="V5291" s="7"/>
      <c r="W5291" s="7"/>
      <c r="X5291" s="7"/>
      <c r="Y5291" s="7"/>
      <c r="Z5291" s="7"/>
    </row>
    <row r="5292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7"/>
      <c r="U5292" s="7"/>
      <c r="V5292" s="7"/>
      <c r="W5292" s="7"/>
      <c r="X5292" s="7"/>
      <c r="Y5292" s="7"/>
      <c r="Z5292" s="7"/>
    </row>
    <row r="5293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7"/>
      <c r="U5293" s="7"/>
      <c r="V5293" s="7"/>
      <c r="W5293" s="7"/>
      <c r="X5293" s="7"/>
      <c r="Y5293" s="7"/>
      <c r="Z5293" s="7"/>
    </row>
    <row r="5294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7"/>
      <c r="U5294" s="7"/>
      <c r="V5294" s="7"/>
      <c r="W5294" s="7"/>
      <c r="X5294" s="7"/>
      <c r="Y5294" s="7"/>
      <c r="Z5294" s="7"/>
    </row>
    <row r="529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7"/>
      <c r="U5295" s="7"/>
      <c r="V5295" s="7"/>
      <c r="W5295" s="7"/>
      <c r="X5295" s="7"/>
      <c r="Y5295" s="7"/>
      <c r="Z5295" s="7"/>
    </row>
    <row r="5296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7"/>
      <c r="U5296" s="7"/>
      <c r="V5296" s="7"/>
      <c r="W5296" s="7"/>
      <c r="X5296" s="7"/>
      <c r="Y5296" s="7"/>
      <c r="Z5296" s="7"/>
    </row>
    <row r="5297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7"/>
      <c r="U5297" s="7"/>
      <c r="V5297" s="7"/>
      <c r="W5297" s="7"/>
      <c r="X5297" s="7"/>
      <c r="Y5297" s="7"/>
      <c r="Z5297" s="7"/>
    </row>
    <row r="5298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7"/>
      <c r="U5298" s="7"/>
      <c r="V5298" s="7"/>
      <c r="W5298" s="7"/>
      <c r="X5298" s="7"/>
      <c r="Y5298" s="7"/>
      <c r="Z5298" s="7"/>
    </row>
    <row r="5299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7"/>
      <c r="U5299" s="7"/>
      <c r="V5299" s="7"/>
      <c r="W5299" s="7"/>
      <c r="X5299" s="7"/>
      <c r="Y5299" s="7"/>
      <c r="Z5299" s="7"/>
    </row>
    <row r="5300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7"/>
      <c r="U5300" s="7"/>
      <c r="V5300" s="7"/>
      <c r="W5300" s="7"/>
      <c r="X5300" s="7"/>
      <c r="Y5300" s="7"/>
      <c r="Z5300" s="7"/>
    </row>
    <row r="5301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7"/>
      <c r="U5301" s="7"/>
      <c r="V5301" s="7"/>
      <c r="W5301" s="7"/>
      <c r="X5301" s="7"/>
      <c r="Y5301" s="7"/>
      <c r="Z5301" s="7"/>
    </row>
    <row r="5302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7"/>
      <c r="U5302" s="7"/>
      <c r="V5302" s="7"/>
      <c r="W5302" s="7"/>
      <c r="X5302" s="7"/>
      <c r="Y5302" s="7"/>
      <c r="Z5302" s="7"/>
    </row>
    <row r="5303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7"/>
      <c r="U5303" s="7"/>
      <c r="V5303" s="7"/>
      <c r="W5303" s="7"/>
      <c r="X5303" s="7"/>
      <c r="Y5303" s="7"/>
      <c r="Z5303" s="7"/>
    </row>
    <row r="5304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7"/>
      <c r="U5304" s="7"/>
      <c r="V5304" s="7"/>
      <c r="W5304" s="7"/>
      <c r="X5304" s="7"/>
      <c r="Y5304" s="7"/>
      <c r="Z5304" s="7"/>
    </row>
    <row r="530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7"/>
      <c r="U5305" s="7"/>
      <c r="V5305" s="7"/>
      <c r="W5305" s="7"/>
      <c r="X5305" s="7"/>
      <c r="Y5305" s="7"/>
      <c r="Z5305" s="7"/>
    </row>
    <row r="5306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7"/>
      <c r="U5306" s="7"/>
      <c r="V5306" s="7"/>
      <c r="W5306" s="7"/>
      <c r="X5306" s="7"/>
      <c r="Y5306" s="7"/>
      <c r="Z5306" s="7"/>
    </row>
    <row r="5307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7"/>
      <c r="U5307" s="7"/>
      <c r="V5307" s="7"/>
      <c r="W5307" s="7"/>
      <c r="X5307" s="7"/>
      <c r="Y5307" s="7"/>
      <c r="Z5307" s="7"/>
    </row>
    <row r="5308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7"/>
      <c r="U5308" s="7"/>
      <c r="V5308" s="7"/>
      <c r="W5308" s="7"/>
      <c r="X5308" s="7"/>
      <c r="Y5308" s="7"/>
      <c r="Z5308" s="7"/>
    </row>
    <row r="5309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7"/>
      <c r="U5309" s="7"/>
      <c r="V5309" s="7"/>
      <c r="W5309" s="7"/>
      <c r="X5309" s="7"/>
      <c r="Y5309" s="7"/>
      <c r="Z5309" s="7"/>
    </row>
    <row r="5310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7"/>
      <c r="U5310" s="7"/>
      <c r="V5310" s="7"/>
      <c r="W5310" s="7"/>
      <c r="X5310" s="7"/>
      <c r="Y5310" s="7"/>
      <c r="Z5310" s="7"/>
    </row>
    <row r="5311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7"/>
      <c r="U5311" s="7"/>
      <c r="V5311" s="7"/>
      <c r="W5311" s="7"/>
      <c r="X5311" s="7"/>
      <c r="Y5311" s="7"/>
      <c r="Z5311" s="7"/>
    </row>
    <row r="5312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7"/>
      <c r="U5312" s="7"/>
      <c r="V5312" s="7"/>
      <c r="W5312" s="7"/>
      <c r="X5312" s="7"/>
      <c r="Y5312" s="7"/>
      <c r="Z5312" s="7"/>
    </row>
    <row r="5313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7"/>
      <c r="U5313" s="7"/>
      <c r="V5313" s="7"/>
      <c r="W5313" s="7"/>
      <c r="X5313" s="7"/>
      <c r="Y5313" s="7"/>
      <c r="Z5313" s="7"/>
    </row>
    <row r="5314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7"/>
      <c r="U5314" s="7"/>
      <c r="V5314" s="7"/>
      <c r="W5314" s="7"/>
      <c r="X5314" s="7"/>
      <c r="Y5314" s="7"/>
      <c r="Z5314" s="7"/>
    </row>
    <row r="531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7"/>
      <c r="U5315" s="7"/>
      <c r="V5315" s="7"/>
      <c r="W5315" s="7"/>
      <c r="X5315" s="7"/>
      <c r="Y5315" s="7"/>
      <c r="Z5315" s="7"/>
    </row>
    <row r="5316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7"/>
      <c r="U5316" s="7"/>
      <c r="V5316" s="7"/>
      <c r="W5316" s="7"/>
      <c r="X5316" s="7"/>
      <c r="Y5316" s="7"/>
      <c r="Z5316" s="7"/>
    </row>
    <row r="5317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7"/>
      <c r="U5317" s="7"/>
      <c r="V5317" s="7"/>
      <c r="W5317" s="7"/>
      <c r="X5317" s="7"/>
      <c r="Y5317" s="7"/>
      <c r="Z5317" s="7"/>
    </row>
    <row r="5318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7"/>
      <c r="U5318" s="7"/>
      <c r="V5318" s="7"/>
      <c r="W5318" s="7"/>
      <c r="X5318" s="7"/>
      <c r="Y5318" s="7"/>
      <c r="Z5318" s="7"/>
    </row>
    <row r="5319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7"/>
      <c r="U5319" s="7"/>
      <c r="V5319" s="7"/>
      <c r="W5319" s="7"/>
      <c r="X5319" s="7"/>
      <c r="Y5319" s="7"/>
      <c r="Z5319" s="7"/>
    </row>
    <row r="5320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7"/>
      <c r="U5320" s="7"/>
      <c r="V5320" s="7"/>
      <c r="W5320" s="7"/>
      <c r="X5320" s="7"/>
      <c r="Y5320" s="7"/>
      <c r="Z5320" s="7"/>
    </row>
    <row r="5321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7"/>
      <c r="U5321" s="7"/>
      <c r="V5321" s="7"/>
      <c r="W5321" s="7"/>
      <c r="X5321" s="7"/>
      <c r="Y5321" s="7"/>
      <c r="Z5321" s="7"/>
    </row>
    <row r="5322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7"/>
      <c r="U5322" s="7"/>
      <c r="V5322" s="7"/>
      <c r="W5322" s="7"/>
      <c r="X5322" s="7"/>
      <c r="Y5322" s="7"/>
      <c r="Z5322" s="7"/>
    </row>
    <row r="5323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7"/>
      <c r="U5323" s="7"/>
      <c r="V5323" s="7"/>
      <c r="W5323" s="7"/>
      <c r="X5323" s="7"/>
      <c r="Y5323" s="7"/>
      <c r="Z5323" s="7"/>
    </row>
    <row r="5324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7"/>
      <c r="U5324" s="7"/>
      <c r="V5324" s="7"/>
      <c r="W5324" s="7"/>
      <c r="X5324" s="7"/>
      <c r="Y5324" s="7"/>
      <c r="Z5324" s="7"/>
    </row>
    <row r="53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7"/>
      <c r="U5325" s="7"/>
      <c r="V5325" s="7"/>
      <c r="W5325" s="7"/>
      <c r="X5325" s="7"/>
      <c r="Y5325" s="7"/>
      <c r="Z5325" s="7"/>
    </row>
    <row r="5326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7"/>
      <c r="U5326" s="7"/>
      <c r="V5326" s="7"/>
      <c r="W5326" s="7"/>
      <c r="X5326" s="7"/>
      <c r="Y5326" s="7"/>
      <c r="Z5326" s="7"/>
    </row>
    <row r="5327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7"/>
      <c r="U5327" s="7"/>
      <c r="V5327" s="7"/>
      <c r="W5327" s="7"/>
      <c r="X5327" s="7"/>
      <c r="Y5327" s="7"/>
      <c r="Z5327" s="7"/>
    </row>
    <row r="5328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7"/>
      <c r="U5328" s="7"/>
      <c r="V5328" s="7"/>
      <c r="W5328" s="7"/>
      <c r="X5328" s="7"/>
      <c r="Y5328" s="7"/>
      <c r="Z5328" s="7"/>
    </row>
    <row r="5329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7"/>
      <c r="U5329" s="7"/>
      <c r="V5329" s="7"/>
      <c r="W5329" s="7"/>
      <c r="X5329" s="7"/>
      <c r="Y5329" s="7"/>
      <c r="Z5329" s="7"/>
    </row>
    <row r="5330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7"/>
      <c r="U5330" s="7"/>
      <c r="V5330" s="7"/>
      <c r="W5330" s="7"/>
      <c r="X5330" s="7"/>
      <c r="Y5330" s="7"/>
      <c r="Z5330" s="7"/>
    </row>
    <row r="5331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7"/>
      <c r="U5331" s="7"/>
      <c r="V5331" s="7"/>
      <c r="W5331" s="7"/>
      <c r="X5331" s="7"/>
      <c r="Y5331" s="7"/>
      <c r="Z5331" s="7"/>
    </row>
    <row r="5332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7"/>
      <c r="U5332" s="7"/>
      <c r="V5332" s="7"/>
      <c r="W5332" s="7"/>
      <c r="X5332" s="7"/>
      <c r="Y5332" s="7"/>
      <c r="Z5332" s="7"/>
    </row>
    <row r="5333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7"/>
      <c r="U5333" s="7"/>
      <c r="V5333" s="7"/>
      <c r="W5333" s="7"/>
      <c r="X5333" s="7"/>
      <c r="Y5333" s="7"/>
      <c r="Z5333" s="7"/>
    </row>
    <row r="5334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7"/>
      <c r="U5334" s="7"/>
      <c r="V5334" s="7"/>
      <c r="W5334" s="7"/>
      <c r="X5334" s="7"/>
      <c r="Y5334" s="7"/>
      <c r="Z5334" s="7"/>
    </row>
    <row r="533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7"/>
      <c r="U5335" s="7"/>
      <c r="V5335" s="7"/>
      <c r="W5335" s="7"/>
      <c r="X5335" s="7"/>
      <c r="Y5335" s="7"/>
      <c r="Z5335" s="7"/>
    </row>
    <row r="5336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7"/>
      <c r="U5336" s="7"/>
      <c r="V5336" s="7"/>
      <c r="W5336" s="7"/>
      <c r="X5336" s="7"/>
      <c r="Y5336" s="7"/>
      <c r="Z5336" s="7"/>
    </row>
    <row r="5337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7"/>
      <c r="U5337" s="7"/>
      <c r="V5337" s="7"/>
      <c r="W5337" s="7"/>
      <c r="X5337" s="7"/>
      <c r="Y5337" s="7"/>
      <c r="Z5337" s="7"/>
    </row>
    <row r="5338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7"/>
      <c r="U5338" s="7"/>
      <c r="V5338" s="7"/>
      <c r="W5338" s="7"/>
      <c r="X5338" s="7"/>
      <c r="Y5338" s="7"/>
      <c r="Z5338" s="7"/>
    </row>
    <row r="5339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7"/>
      <c r="U5339" s="7"/>
      <c r="V5339" s="7"/>
      <c r="W5339" s="7"/>
      <c r="X5339" s="7"/>
      <c r="Y5339" s="7"/>
      <c r="Z5339" s="7"/>
    </row>
    <row r="5340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7"/>
      <c r="U5340" s="7"/>
      <c r="V5340" s="7"/>
      <c r="W5340" s="7"/>
      <c r="X5340" s="7"/>
      <c r="Y5340" s="7"/>
      <c r="Z5340" s="7"/>
    </row>
    <row r="5341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7"/>
      <c r="U5341" s="7"/>
      <c r="V5341" s="7"/>
      <c r="W5341" s="7"/>
      <c r="X5341" s="7"/>
      <c r="Y5341" s="7"/>
      <c r="Z5341" s="7"/>
    </row>
    <row r="5342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7"/>
      <c r="U5342" s="7"/>
      <c r="V5342" s="7"/>
      <c r="W5342" s="7"/>
      <c r="X5342" s="7"/>
      <c r="Y5342" s="7"/>
      <c r="Z5342" s="7"/>
    </row>
    <row r="5343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7"/>
      <c r="U5343" s="7"/>
      <c r="V5343" s="7"/>
      <c r="W5343" s="7"/>
      <c r="X5343" s="7"/>
      <c r="Y5343" s="7"/>
      <c r="Z5343" s="7"/>
    </row>
    <row r="5344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7"/>
      <c r="U5344" s="7"/>
      <c r="V5344" s="7"/>
      <c r="W5344" s="7"/>
      <c r="X5344" s="7"/>
      <c r="Y5344" s="7"/>
      <c r="Z5344" s="7"/>
    </row>
    <row r="534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7"/>
      <c r="U5345" s="7"/>
      <c r="V5345" s="7"/>
      <c r="W5345" s="7"/>
      <c r="X5345" s="7"/>
      <c r="Y5345" s="7"/>
      <c r="Z5345" s="7"/>
    </row>
    <row r="5346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7"/>
      <c r="U5346" s="7"/>
      <c r="V5346" s="7"/>
      <c r="W5346" s="7"/>
      <c r="X5346" s="7"/>
      <c r="Y5346" s="7"/>
      <c r="Z5346" s="7"/>
    </row>
    <row r="5347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7"/>
      <c r="U5347" s="7"/>
      <c r="V5347" s="7"/>
      <c r="W5347" s="7"/>
      <c r="X5347" s="7"/>
      <c r="Y5347" s="7"/>
      <c r="Z5347" s="7"/>
    </row>
    <row r="5348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7"/>
      <c r="U5348" s="7"/>
      <c r="V5348" s="7"/>
      <c r="W5348" s="7"/>
      <c r="X5348" s="7"/>
      <c r="Y5348" s="7"/>
      <c r="Z5348" s="7"/>
    </row>
    <row r="5349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7"/>
      <c r="U5349" s="7"/>
      <c r="V5349" s="7"/>
      <c r="W5349" s="7"/>
      <c r="X5349" s="7"/>
      <c r="Y5349" s="7"/>
      <c r="Z5349" s="7"/>
    </row>
    <row r="5350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7"/>
      <c r="U5350" s="7"/>
      <c r="V5350" s="7"/>
      <c r="W5350" s="7"/>
      <c r="X5350" s="7"/>
      <c r="Y5350" s="7"/>
      <c r="Z5350" s="7"/>
    </row>
    <row r="5351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7"/>
      <c r="U5351" s="7"/>
      <c r="V5351" s="7"/>
      <c r="W5351" s="7"/>
      <c r="X5351" s="7"/>
      <c r="Y5351" s="7"/>
      <c r="Z5351" s="7"/>
    </row>
    <row r="5352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7"/>
      <c r="U5352" s="7"/>
      <c r="V5352" s="7"/>
      <c r="W5352" s="7"/>
      <c r="X5352" s="7"/>
      <c r="Y5352" s="7"/>
      <c r="Z5352" s="7"/>
    </row>
    <row r="5353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7"/>
      <c r="U5353" s="7"/>
      <c r="V5353" s="7"/>
      <c r="W5353" s="7"/>
      <c r="X5353" s="7"/>
      <c r="Y5353" s="7"/>
      <c r="Z5353" s="7"/>
    </row>
    <row r="5354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7"/>
      <c r="U5354" s="7"/>
      <c r="V5354" s="7"/>
      <c r="W5354" s="7"/>
      <c r="X5354" s="7"/>
      <c r="Y5354" s="7"/>
      <c r="Z5354" s="7"/>
    </row>
    <row r="535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7"/>
      <c r="U5355" s="7"/>
      <c r="V5355" s="7"/>
      <c r="W5355" s="7"/>
      <c r="X5355" s="7"/>
      <c r="Y5355" s="7"/>
      <c r="Z5355" s="7"/>
    </row>
    <row r="5356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7"/>
      <c r="U5356" s="7"/>
      <c r="V5356" s="7"/>
      <c r="W5356" s="7"/>
      <c r="X5356" s="7"/>
      <c r="Y5356" s="7"/>
      <c r="Z5356" s="7"/>
    </row>
    <row r="5357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7"/>
      <c r="U5357" s="7"/>
      <c r="V5357" s="7"/>
      <c r="W5357" s="7"/>
      <c r="X5357" s="7"/>
      <c r="Y5357" s="7"/>
      <c r="Z5357" s="7"/>
    </row>
    <row r="5358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7"/>
      <c r="U5358" s="7"/>
      <c r="V5358" s="7"/>
      <c r="W5358" s="7"/>
      <c r="X5358" s="7"/>
      <c r="Y5358" s="7"/>
      <c r="Z5358" s="7"/>
    </row>
    <row r="5359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7"/>
      <c r="U5359" s="7"/>
      <c r="V5359" s="7"/>
      <c r="W5359" s="7"/>
      <c r="X5359" s="7"/>
      <c r="Y5359" s="7"/>
      <c r="Z5359" s="7"/>
    </row>
    <row r="5360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7"/>
      <c r="U5360" s="7"/>
      <c r="V5360" s="7"/>
      <c r="W5360" s="7"/>
      <c r="X5360" s="7"/>
      <c r="Y5360" s="7"/>
      <c r="Z5360" s="7"/>
    </row>
    <row r="5361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7"/>
      <c r="U5361" s="7"/>
      <c r="V5361" s="7"/>
      <c r="W5361" s="7"/>
      <c r="X5361" s="7"/>
      <c r="Y5361" s="7"/>
      <c r="Z5361" s="7"/>
    </row>
    <row r="5362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7"/>
      <c r="U5362" s="7"/>
      <c r="V5362" s="7"/>
      <c r="W5362" s="7"/>
      <c r="X5362" s="7"/>
      <c r="Y5362" s="7"/>
      <c r="Z5362" s="7"/>
    </row>
    <row r="5363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7"/>
      <c r="U5363" s="7"/>
      <c r="V5363" s="7"/>
      <c r="W5363" s="7"/>
      <c r="X5363" s="7"/>
      <c r="Y5363" s="7"/>
      <c r="Z5363" s="7"/>
    </row>
    <row r="5364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7"/>
      <c r="U5364" s="7"/>
      <c r="V5364" s="7"/>
      <c r="W5364" s="7"/>
      <c r="X5364" s="7"/>
      <c r="Y5364" s="7"/>
      <c r="Z5364" s="7"/>
    </row>
    <row r="536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7"/>
      <c r="U5365" s="7"/>
      <c r="V5365" s="7"/>
      <c r="W5365" s="7"/>
      <c r="X5365" s="7"/>
      <c r="Y5365" s="7"/>
      <c r="Z5365" s="7"/>
    </row>
    <row r="5366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7"/>
      <c r="U5366" s="7"/>
      <c r="V5366" s="7"/>
      <c r="W5366" s="7"/>
      <c r="X5366" s="7"/>
      <c r="Y5366" s="7"/>
      <c r="Z5366" s="7"/>
    </row>
    <row r="5367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7"/>
      <c r="U5367" s="7"/>
      <c r="V5367" s="7"/>
      <c r="W5367" s="7"/>
      <c r="X5367" s="7"/>
      <c r="Y5367" s="7"/>
      <c r="Z5367" s="7"/>
    </row>
    <row r="5368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7"/>
      <c r="U5368" s="7"/>
      <c r="V5368" s="7"/>
      <c r="W5368" s="7"/>
      <c r="X5368" s="7"/>
      <c r="Y5368" s="7"/>
      <c r="Z5368" s="7"/>
    </row>
    <row r="5369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7"/>
      <c r="U5369" s="7"/>
      <c r="V5369" s="7"/>
      <c r="W5369" s="7"/>
      <c r="X5369" s="7"/>
      <c r="Y5369" s="7"/>
      <c r="Z5369" s="7"/>
    </row>
    <row r="5370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7"/>
      <c r="U5370" s="7"/>
      <c r="V5370" s="7"/>
      <c r="W5370" s="7"/>
      <c r="X5370" s="7"/>
      <c r="Y5370" s="7"/>
      <c r="Z5370" s="7"/>
    </row>
    <row r="5371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7"/>
      <c r="U5371" s="7"/>
      <c r="V5371" s="7"/>
      <c r="W5371" s="7"/>
      <c r="X5371" s="7"/>
      <c r="Y5371" s="7"/>
      <c r="Z5371" s="7"/>
    </row>
    <row r="5372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7"/>
      <c r="U5372" s="7"/>
      <c r="V5372" s="7"/>
      <c r="W5372" s="7"/>
      <c r="X5372" s="7"/>
      <c r="Y5372" s="7"/>
      <c r="Z5372" s="7"/>
    </row>
    <row r="5373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7"/>
      <c r="U5373" s="7"/>
      <c r="V5373" s="7"/>
      <c r="W5373" s="7"/>
      <c r="X5373" s="7"/>
      <c r="Y5373" s="7"/>
      <c r="Z5373" s="7"/>
    </row>
    <row r="5374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7"/>
      <c r="U5374" s="7"/>
      <c r="V5374" s="7"/>
      <c r="W5374" s="7"/>
      <c r="X5374" s="7"/>
      <c r="Y5374" s="7"/>
      <c r="Z5374" s="7"/>
    </row>
    <row r="537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7"/>
      <c r="U5375" s="7"/>
      <c r="V5375" s="7"/>
      <c r="W5375" s="7"/>
      <c r="X5375" s="7"/>
      <c r="Y5375" s="7"/>
      <c r="Z5375" s="7"/>
    </row>
    <row r="5376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7"/>
      <c r="U5376" s="7"/>
      <c r="V5376" s="7"/>
      <c r="W5376" s="7"/>
      <c r="X5376" s="7"/>
      <c r="Y5376" s="7"/>
      <c r="Z5376" s="7"/>
    </row>
    <row r="5377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7"/>
      <c r="U5377" s="7"/>
      <c r="V5377" s="7"/>
      <c r="W5377" s="7"/>
      <c r="X5377" s="7"/>
      <c r="Y5377" s="7"/>
      <c r="Z5377" s="7"/>
    </row>
    <row r="5378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7"/>
      <c r="U5378" s="7"/>
      <c r="V5378" s="7"/>
      <c r="W5378" s="7"/>
      <c r="X5378" s="7"/>
      <c r="Y5378" s="7"/>
      <c r="Z5378" s="7"/>
    </row>
    <row r="5379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7"/>
      <c r="U5379" s="7"/>
      <c r="V5379" s="7"/>
      <c r="W5379" s="7"/>
      <c r="X5379" s="7"/>
      <c r="Y5379" s="7"/>
      <c r="Z5379" s="7"/>
    </row>
    <row r="5380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7"/>
      <c r="U5380" s="7"/>
      <c r="V5380" s="7"/>
      <c r="W5380" s="7"/>
      <c r="X5380" s="7"/>
      <c r="Y5380" s="7"/>
      <c r="Z5380" s="7"/>
    </row>
    <row r="5381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7"/>
      <c r="U5381" s="7"/>
      <c r="V5381" s="7"/>
      <c r="W5381" s="7"/>
      <c r="X5381" s="7"/>
      <c r="Y5381" s="7"/>
      <c r="Z5381" s="7"/>
    </row>
    <row r="5382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7"/>
      <c r="U5382" s="7"/>
      <c r="V5382" s="7"/>
      <c r="W5382" s="7"/>
      <c r="X5382" s="7"/>
      <c r="Y5382" s="7"/>
      <c r="Z5382" s="7"/>
    </row>
    <row r="5383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7"/>
      <c r="U5383" s="7"/>
      <c r="V5383" s="7"/>
      <c r="W5383" s="7"/>
      <c r="X5383" s="7"/>
      <c r="Y5383" s="7"/>
      <c r="Z5383" s="7"/>
    </row>
    <row r="5384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7"/>
      <c r="U5384" s="7"/>
      <c r="V5384" s="7"/>
      <c r="W5384" s="7"/>
      <c r="X5384" s="7"/>
      <c r="Y5384" s="7"/>
      <c r="Z5384" s="7"/>
    </row>
    <row r="538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7"/>
      <c r="U5385" s="7"/>
      <c r="V5385" s="7"/>
      <c r="W5385" s="7"/>
      <c r="X5385" s="7"/>
      <c r="Y5385" s="7"/>
      <c r="Z5385" s="7"/>
    </row>
    <row r="5386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7"/>
      <c r="U5386" s="7"/>
      <c r="V5386" s="7"/>
      <c r="W5386" s="7"/>
      <c r="X5386" s="7"/>
      <c r="Y5386" s="7"/>
      <c r="Z5386" s="7"/>
    </row>
    <row r="5387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7"/>
      <c r="U5387" s="7"/>
      <c r="V5387" s="7"/>
      <c r="W5387" s="7"/>
      <c r="X5387" s="7"/>
      <c r="Y5387" s="7"/>
      <c r="Z5387" s="7"/>
    </row>
    <row r="5388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7"/>
      <c r="U5388" s="7"/>
      <c r="V5388" s="7"/>
      <c r="W5388" s="7"/>
      <c r="X5388" s="7"/>
      <c r="Y5388" s="7"/>
      <c r="Z5388" s="7"/>
    </row>
    <row r="5389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7"/>
      <c r="U5389" s="7"/>
      <c r="V5389" s="7"/>
      <c r="W5389" s="7"/>
      <c r="X5389" s="7"/>
      <c r="Y5389" s="7"/>
      <c r="Z5389" s="7"/>
    </row>
    <row r="5390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7"/>
      <c r="U5390" s="7"/>
      <c r="V5390" s="7"/>
      <c r="W5390" s="7"/>
      <c r="X5390" s="7"/>
      <c r="Y5390" s="7"/>
      <c r="Z5390" s="7"/>
    </row>
    <row r="5391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7"/>
      <c r="U5391" s="7"/>
      <c r="V5391" s="7"/>
      <c r="W5391" s="7"/>
      <c r="X5391" s="7"/>
      <c r="Y5391" s="7"/>
      <c r="Z5391" s="7"/>
    </row>
    <row r="5392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7"/>
      <c r="U5392" s="7"/>
      <c r="V5392" s="7"/>
      <c r="W5392" s="7"/>
      <c r="X5392" s="7"/>
      <c r="Y5392" s="7"/>
      <c r="Z5392" s="7"/>
    </row>
    <row r="5393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7"/>
      <c r="U5393" s="7"/>
      <c r="V5393" s="7"/>
      <c r="W5393" s="7"/>
      <c r="X5393" s="7"/>
      <c r="Y5393" s="7"/>
      <c r="Z5393" s="7"/>
    </row>
    <row r="5394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7"/>
      <c r="U5394" s="7"/>
      <c r="V5394" s="7"/>
      <c r="W5394" s="7"/>
      <c r="X5394" s="7"/>
      <c r="Y5394" s="7"/>
      <c r="Z5394" s="7"/>
    </row>
    <row r="539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7"/>
      <c r="U5395" s="7"/>
      <c r="V5395" s="7"/>
      <c r="W5395" s="7"/>
      <c r="X5395" s="7"/>
      <c r="Y5395" s="7"/>
      <c r="Z5395" s="7"/>
    </row>
    <row r="5396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7"/>
      <c r="U5396" s="7"/>
      <c r="V5396" s="7"/>
      <c r="W5396" s="7"/>
      <c r="X5396" s="7"/>
      <c r="Y5396" s="7"/>
      <c r="Z5396" s="7"/>
    </row>
    <row r="5397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7"/>
      <c r="U5397" s="7"/>
      <c r="V5397" s="7"/>
      <c r="W5397" s="7"/>
      <c r="X5397" s="7"/>
      <c r="Y5397" s="7"/>
      <c r="Z5397" s="7"/>
    </row>
    <row r="5398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7"/>
      <c r="U5398" s="7"/>
      <c r="V5398" s="7"/>
      <c r="W5398" s="7"/>
      <c r="X5398" s="7"/>
      <c r="Y5398" s="7"/>
      <c r="Z5398" s="7"/>
    </row>
    <row r="5399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7"/>
      <c r="U5399" s="7"/>
      <c r="V5399" s="7"/>
      <c r="W5399" s="7"/>
      <c r="X5399" s="7"/>
      <c r="Y5399" s="7"/>
      <c r="Z5399" s="7"/>
    </row>
    <row r="5400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7"/>
      <c r="U5400" s="7"/>
      <c r="V5400" s="7"/>
      <c r="W5400" s="7"/>
      <c r="X5400" s="7"/>
      <c r="Y5400" s="7"/>
      <c r="Z5400" s="7"/>
    </row>
    <row r="5401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7"/>
      <c r="U5401" s="7"/>
      <c r="V5401" s="7"/>
      <c r="W5401" s="7"/>
      <c r="X5401" s="7"/>
      <c r="Y5401" s="7"/>
      <c r="Z5401" s="7"/>
    </row>
    <row r="5402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7"/>
      <c r="U5402" s="7"/>
      <c r="V5402" s="7"/>
      <c r="W5402" s="7"/>
      <c r="X5402" s="7"/>
      <c r="Y5402" s="7"/>
      <c r="Z5402" s="7"/>
    </row>
    <row r="5403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7"/>
      <c r="U5403" s="7"/>
      <c r="V5403" s="7"/>
      <c r="W5403" s="7"/>
      <c r="X5403" s="7"/>
      <c r="Y5403" s="7"/>
      <c r="Z5403" s="7"/>
    </row>
    <row r="5404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7"/>
      <c r="U5404" s="7"/>
      <c r="V5404" s="7"/>
      <c r="W5404" s="7"/>
      <c r="X5404" s="7"/>
      <c r="Y5404" s="7"/>
      <c r="Z5404" s="7"/>
    </row>
    <row r="540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7"/>
      <c r="U5405" s="7"/>
      <c r="V5405" s="7"/>
      <c r="W5405" s="7"/>
      <c r="X5405" s="7"/>
      <c r="Y5405" s="7"/>
      <c r="Z5405" s="7"/>
    </row>
    <row r="5406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7"/>
      <c r="U5406" s="7"/>
      <c r="V5406" s="7"/>
      <c r="W5406" s="7"/>
      <c r="X5406" s="7"/>
      <c r="Y5406" s="7"/>
      <c r="Z5406" s="7"/>
    </row>
    <row r="5407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7"/>
      <c r="U5407" s="7"/>
      <c r="V5407" s="7"/>
      <c r="W5407" s="7"/>
      <c r="X5407" s="7"/>
      <c r="Y5407" s="7"/>
      <c r="Z5407" s="7"/>
    </row>
    <row r="5408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7"/>
      <c r="U5408" s="7"/>
      <c r="V5408" s="7"/>
      <c r="W5408" s="7"/>
      <c r="X5408" s="7"/>
      <c r="Y5408" s="7"/>
      <c r="Z5408" s="7"/>
    </row>
    <row r="5409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7"/>
      <c r="U5409" s="7"/>
      <c r="V5409" s="7"/>
      <c r="W5409" s="7"/>
      <c r="X5409" s="7"/>
      <c r="Y5409" s="7"/>
      <c r="Z5409" s="7"/>
    </row>
    <row r="5410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7"/>
      <c r="U5410" s="7"/>
      <c r="V5410" s="7"/>
      <c r="W5410" s="7"/>
      <c r="X5410" s="7"/>
      <c r="Y5410" s="7"/>
      <c r="Z5410" s="7"/>
    </row>
    <row r="5411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7"/>
      <c r="U5411" s="7"/>
      <c r="V5411" s="7"/>
      <c r="W5411" s="7"/>
      <c r="X5411" s="7"/>
      <c r="Y5411" s="7"/>
      <c r="Z5411" s="7"/>
    </row>
    <row r="5412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7"/>
      <c r="U5412" s="7"/>
      <c r="V5412" s="7"/>
      <c r="W5412" s="7"/>
      <c r="X5412" s="7"/>
      <c r="Y5412" s="7"/>
      <c r="Z5412" s="7"/>
    </row>
    <row r="5413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7"/>
      <c r="U5413" s="7"/>
      <c r="V5413" s="7"/>
      <c r="W5413" s="7"/>
      <c r="X5413" s="7"/>
      <c r="Y5413" s="7"/>
      <c r="Z5413" s="7"/>
    </row>
    <row r="5414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7"/>
      <c r="U5414" s="7"/>
      <c r="V5414" s="7"/>
      <c r="W5414" s="7"/>
      <c r="X5414" s="7"/>
      <c r="Y5414" s="7"/>
      <c r="Z5414" s="7"/>
    </row>
    <row r="541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7"/>
      <c r="U5415" s="7"/>
      <c r="V5415" s="7"/>
      <c r="W5415" s="7"/>
      <c r="X5415" s="7"/>
      <c r="Y5415" s="7"/>
      <c r="Z5415" s="7"/>
    </row>
    <row r="5416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7"/>
      <c r="U5416" s="7"/>
      <c r="V5416" s="7"/>
      <c r="W5416" s="7"/>
      <c r="X5416" s="7"/>
      <c r="Y5416" s="7"/>
      <c r="Z5416" s="7"/>
    </row>
    <row r="5417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7"/>
      <c r="U5417" s="7"/>
      <c r="V5417" s="7"/>
      <c r="W5417" s="7"/>
      <c r="X5417" s="7"/>
      <c r="Y5417" s="7"/>
      <c r="Z5417" s="7"/>
    </row>
    <row r="5418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7"/>
      <c r="U5418" s="7"/>
      <c r="V5418" s="7"/>
      <c r="W5418" s="7"/>
      <c r="X5418" s="7"/>
      <c r="Y5418" s="7"/>
      <c r="Z5418" s="7"/>
    </row>
    <row r="5419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7"/>
      <c r="U5419" s="7"/>
      <c r="V5419" s="7"/>
      <c r="W5419" s="7"/>
      <c r="X5419" s="7"/>
      <c r="Y5419" s="7"/>
      <c r="Z5419" s="7"/>
    </row>
    <row r="5420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7"/>
      <c r="U5420" s="7"/>
      <c r="V5420" s="7"/>
      <c r="W5420" s="7"/>
      <c r="X5420" s="7"/>
      <c r="Y5420" s="7"/>
      <c r="Z5420" s="7"/>
    </row>
    <row r="5421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7"/>
      <c r="U5421" s="7"/>
      <c r="V5421" s="7"/>
      <c r="W5421" s="7"/>
      <c r="X5421" s="7"/>
      <c r="Y5421" s="7"/>
      <c r="Z5421" s="7"/>
    </row>
    <row r="5422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7"/>
      <c r="U5422" s="7"/>
      <c r="V5422" s="7"/>
      <c r="W5422" s="7"/>
      <c r="X5422" s="7"/>
      <c r="Y5422" s="7"/>
      <c r="Z5422" s="7"/>
    </row>
    <row r="5423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7"/>
      <c r="U5423" s="7"/>
      <c r="V5423" s="7"/>
      <c r="W5423" s="7"/>
      <c r="X5423" s="7"/>
      <c r="Y5423" s="7"/>
      <c r="Z5423" s="7"/>
    </row>
    <row r="5424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7"/>
      <c r="U5424" s="7"/>
      <c r="V5424" s="7"/>
      <c r="W5424" s="7"/>
      <c r="X5424" s="7"/>
      <c r="Y5424" s="7"/>
      <c r="Z5424" s="7"/>
    </row>
    <row r="54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7"/>
      <c r="U5425" s="7"/>
      <c r="V5425" s="7"/>
      <c r="W5425" s="7"/>
      <c r="X5425" s="7"/>
      <c r="Y5425" s="7"/>
      <c r="Z5425" s="7"/>
    </row>
    <row r="5426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7"/>
      <c r="U5426" s="7"/>
      <c r="V5426" s="7"/>
      <c r="W5426" s="7"/>
      <c r="X5426" s="7"/>
      <c r="Y5426" s="7"/>
      <c r="Z5426" s="7"/>
    </row>
    <row r="5427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7"/>
      <c r="U5427" s="7"/>
      <c r="V5427" s="7"/>
      <c r="W5427" s="7"/>
      <c r="X5427" s="7"/>
      <c r="Y5427" s="7"/>
      <c r="Z5427" s="7"/>
    </row>
    <row r="5428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7"/>
      <c r="U5428" s="7"/>
      <c r="V5428" s="7"/>
      <c r="W5428" s="7"/>
      <c r="X5428" s="7"/>
      <c r="Y5428" s="7"/>
      <c r="Z5428" s="7"/>
    </row>
    <row r="5429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7"/>
      <c r="U5429" s="7"/>
      <c r="V5429" s="7"/>
      <c r="W5429" s="7"/>
      <c r="X5429" s="7"/>
      <c r="Y5429" s="7"/>
      <c r="Z5429" s="7"/>
    </row>
    <row r="5430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7"/>
      <c r="U5430" s="7"/>
      <c r="V5430" s="7"/>
      <c r="W5430" s="7"/>
      <c r="X5430" s="7"/>
      <c r="Y5430" s="7"/>
      <c r="Z5430" s="7"/>
    </row>
    <row r="5431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7"/>
      <c r="U5431" s="7"/>
      <c r="V5431" s="7"/>
      <c r="W5431" s="7"/>
      <c r="X5431" s="7"/>
      <c r="Y5431" s="7"/>
      <c r="Z5431" s="7"/>
    </row>
    <row r="5432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7"/>
      <c r="U5432" s="7"/>
      <c r="V5432" s="7"/>
      <c r="W5432" s="7"/>
      <c r="X5432" s="7"/>
      <c r="Y5432" s="7"/>
      <c r="Z5432" s="7"/>
    </row>
    <row r="5433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7"/>
      <c r="U5433" s="7"/>
      <c r="V5433" s="7"/>
      <c r="W5433" s="7"/>
      <c r="X5433" s="7"/>
      <c r="Y5433" s="7"/>
      <c r="Z5433" s="7"/>
    </row>
    <row r="5434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7"/>
      <c r="U5434" s="7"/>
      <c r="V5434" s="7"/>
      <c r="W5434" s="7"/>
      <c r="X5434" s="7"/>
      <c r="Y5434" s="7"/>
      <c r="Z5434" s="7"/>
    </row>
    <row r="543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7"/>
      <c r="U5435" s="7"/>
      <c r="V5435" s="7"/>
      <c r="W5435" s="7"/>
      <c r="X5435" s="7"/>
      <c r="Y5435" s="7"/>
      <c r="Z5435" s="7"/>
    </row>
    <row r="5436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7"/>
      <c r="U5436" s="7"/>
      <c r="V5436" s="7"/>
      <c r="W5436" s="7"/>
      <c r="X5436" s="7"/>
      <c r="Y5436" s="7"/>
      <c r="Z5436" s="7"/>
    </row>
    <row r="5437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7"/>
      <c r="U5437" s="7"/>
      <c r="V5437" s="7"/>
      <c r="W5437" s="7"/>
      <c r="X5437" s="7"/>
      <c r="Y5437" s="7"/>
      <c r="Z5437" s="7"/>
    </row>
    <row r="5438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7"/>
      <c r="U5438" s="7"/>
      <c r="V5438" s="7"/>
      <c r="W5438" s="7"/>
      <c r="X5438" s="7"/>
      <c r="Y5438" s="7"/>
      <c r="Z5438" s="7"/>
    </row>
    <row r="5439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7"/>
      <c r="U5439" s="7"/>
      <c r="V5439" s="7"/>
      <c r="W5439" s="7"/>
      <c r="X5439" s="7"/>
      <c r="Y5439" s="7"/>
      <c r="Z5439" s="7"/>
    </row>
    <row r="5440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7"/>
      <c r="U5440" s="7"/>
      <c r="V5440" s="7"/>
      <c r="W5440" s="7"/>
      <c r="X5440" s="7"/>
      <c r="Y5440" s="7"/>
      <c r="Z5440" s="7"/>
    </row>
    <row r="5441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7"/>
      <c r="U5441" s="7"/>
      <c r="V5441" s="7"/>
      <c r="W5441" s="7"/>
      <c r="X5441" s="7"/>
      <c r="Y5441" s="7"/>
      <c r="Z5441" s="7"/>
    </row>
    <row r="5442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7"/>
      <c r="U5442" s="7"/>
      <c r="V5442" s="7"/>
      <c r="W5442" s="7"/>
      <c r="X5442" s="7"/>
      <c r="Y5442" s="7"/>
      <c r="Z5442" s="7"/>
    </row>
    <row r="5443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7"/>
      <c r="U5443" s="7"/>
      <c r="V5443" s="7"/>
      <c r="W5443" s="7"/>
      <c r="X5443" s="7"/>
      <c r="Y5443" s="7"/>
      <c r="Z5443" s="7"/>
    </row>
    <row r="5444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7"/>
      <c r="U5444" s="7"/>
      <c r="V5444" s="7"/>
      <c r="W5444" s="7"/>
      <c r="X5444" s="7"/>
      <c r="Y5444" s="7"/>
      <c r="Z5444" s="7"/>
    </row>
    <row r="544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7"/>
      <c r="U5445" s="7"/>
      <c r="V5445" s="7"/>
      <c r="W5445" s="7"/>
      <c r="X5445" s="7"/>
      <c r="Y5445" s="7"/>
      <c r="Z5445" s="7"/>
    </row>
    <row r="5446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7"/>
      <c r="U5446" s="7"/>
      <c r="V5446" s="7"/>
      <c r="W5446" s="7"/>
      <c r="X5446" s="7"/>
      <c r="Y5446" s="7"/>
      <c r="Z5446" s="7"/>
    </row>
    <row r="5447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7"/>
      <c r="U5447" s="7"/>
      <c r="V5447" s="7"/>
      <c r="W5447" s="7"/>
      <c r="X5447" s="7"/>
      <c r="Y5447" s="7"/>
      <c r="Z5447" s="7"/>
    </row>
    <row r="5448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7"/>
      <c r="U5448" s="7"/>
      <c r="V5448" s="7"/>
      <c r="W5448" s="7"/>
      <c r="X5448" s="7"/>
      <c r="Y5448" s="7"/>
      <c r="Z5448" s="7"/>
    </row>
    <row r="5449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7"/>
      <c r="U5449" s="7"/>
      <c r="V5449" s="7"/>
      <c r="W5449" s="7"/>
      <c r="X5449" s="7"/>
      <c r="Y5449" s="7"/>
      <c r="Z5449" s="7"/>
    </row>
    <row r="5450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7"/>
      <c r="U5450" s="7"/>
      <c r="V5450" s="7"/>
      <c r="W5450" s="7"/>
      <c r="X5450" s="7"/>
      <c r="Y5450" s="7"/>
      <c r="Z5450" s="7"/>
    </row>
    <row r="5451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7"/>
      <c r="U5451" s="7"/>
      <c r="V5451" s="7"/>
      <c r="W5451" s="7"/>
      <c r="X5451" s="7"/>
      <c r="Y5451" s="7"/>
      <c r="Z5451" s="7"/>
    </row>
    <row r="5452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7"/>
      <c r="U5452" s="7"/>
      <c r="V5452" s="7"/>
      <c r="W5452" s="7"/>
      <c r="X5452" s="7"/>
      <c r="Y5452" s="7"/>
      <c r="Z5452" s="7"/>
    </row>
    <row r="5453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7"/>
      <c r="U5453" s="7"/>
      <c r="V5453" s="7"/>
      <c r="W5453" s="7"/>
      <c r="X5453" s="7"/>
      <c r="Y5453" s="7"/>
      <c r="Z5453" s="7"/>
    </row>
    <row r="5454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7"/>
      <c r="U5454" s="7"/>
      <c r="V5454" s="7"/>
      <c r="W5454" s="7"/>
      <c r="X5454" s="7"/>
      <c r="Y5454" s="7"/>
      <c r="Z5454" s="7"/>
    </row>
    <row r="545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7"/>
      <c r="U5455" s="7"/>
      <c r="V5455" s="7"/>
      <c r="W5455" s="7"/>
      <c r="X5455" s="7"/>
      <c r="Y5455" s="7"/>
      <c r="Z5455" s="7"/>
    </row>
    <row r="5456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7"/>
      <c r="U5456" s="7"/>
      <c r="V5456" s="7"/>
      <c r="W5456" s="7"/>
      <c r="X5456" s="7"/>
      <c r="Y5456" s="7"/>
      <c r="Z5456" s="7"/>
    </row>
    <row r="5457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7"/>
      <c r="U5457" s="7"/>
      <c r="V5457" s="7"/>
      <c r="W5457" s="7"/>
      <c r="X5457" s="7"/>
      <c r="Y5457" s="7"/>
      <c r="Z5457" s="7"/>
    </row>
    <row r="5458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7"/>
      <c r="U5458" s="7"/>
      <c r="V5458" s="7"/>
      <c r="W5458" s="7"/>
      <c r="X5458" s="7"/>
      <c r="Y5458" s="7"/>
      <c r="Z5458" s="7"/>
    </row>
    <row r="5459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7"/>
      <c r="U5459" s="7"/>
      <c r="V5459" s="7"/>
      <c r="W5459" s="7"/>
      <c r="X5459" s="7"/>
      <c r="Y5459" s="7"/>
      <c r="Z5459" s="7"/>
    </row>
    <row r="5460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7"/>
      <c r="U5460" s="7"/>
      <c r="V5460" s="7"/>
      <c r="W5460" s="7"/>
      <c r="X5460" s="7"/>
      <c r="Y5460" s="7"/>
      <c r="Z5460" s="7"/>
    </row>
    <row r="5461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7"/>
      <c r="U5461" s="7"/>
      <c r="V5461" s="7"/>
      <c r="W5461" s="7"/>
      <c r="X5461" s="7"/>
      <c r="Y5461" s="7"/>
      <c r="Z5461" s="7"/>
    </row>
    <row r="5462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7"/>
      <c r="U5462" s="7"/>
      <c r="V5462" s="7"/>
      <c r="W5462" s="7"/>
      <c r="X5462" s="7"/>
      <c r="Y5462" s="7"/>
      <c r="Z5462" s="7"/>
    </row>
    <row r="5463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7"/>
      <c r="U5463" s="7"/>
      <c r="V5463" s="7"/>
      <c r="W5463" s="7"/>
      <c r="X5463" s="7"/>
      <c r="Y5463" s="7"/>
      <c r="Z5463" s="7"/>
    </row>
    <row r="5464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7"/>
      <c r="U5464" s="7"/>
      <c r="V5464" s="7"/>
      <c r="W5464" s="7"/>
      <c r="X5464" s="7"/>
      <c r="Y5464" s="7"/>
      <c r="Z5464" s="7"/>
    </row>
    <row r="546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7"/>
      <c r="U5465" s="7"/>
      <c r="V5465" s="7"/>
      <c r="W5465" s="7"/>
      <c r="X5465" s="7"/>
      <c r="Y5465" s="7"/>
      <c r="Z5465" s="7"/>
    </row>
    <row r="5466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7"/>
      <c r="U5466" s="7"/>
      <c r="V5466" s="7"/>
      <c r="W5466" s="7"/>
      <c r="X5466" s="7"/>
      <c r="Y5466" s="7"/>
      <c r="Z5466" s="7"/>
    </row>
    <row r="5467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7"/>
      <c r="U5467" s="7"/>
      <c r="V5467" s="7"/>
      <c r="W5467" s="7"/>
      <c r="X5467" s="7"/>
      <c r="Y5467" s="7"/>
      <c r="Z5467" s="7"/>
    </row>
    <row r="5468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7"/>
      <c r="U5468" s="7"/>
      <c r="V5468" s="7"/>
      <c r="W5468" s="7"/>
      <c r="X5468" s="7"/>
      <c r="Y5468" s="7"/>
      <c r="Z5468" s="7"/>
    </row>
    <row r="5469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7"/>
      <c r="U5469" s="7"/>
      <c r="V5469" s="7"/>
      <c r="W5469" s="7"/>
      <c r="X5469" s="7"/>
      <c r="Y5469" s="7"/>
      <c r="Z5469" s="7"/>
    </row>
    <row r="5470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7"/>
      <c r="U5470" s="7"/>
      <c r="V5470" s="7"/>
      <c r="W5470" s="7"/>
      <c r="X5470" s="7"/>
      <c r="Y5470" s="7"/>
      <c r="Z5470" s="7"/>
    </row>
    <row r="5471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7"/>
      <c r="U5471" s="7"/>
      <c r="V5471" s="7"/>
      <c r="W5471" s="7"/>
      <c r="X5471" s="7"/>
      <c r="Y5471" s="7"/>
      <c r="Z5471" s="7"/>
    </row>
    <row r="5472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7"/>
      <c r="U5472" s="7"/>
      <c r="V5472" s="7"/>
      <c r="W5472" s="7"/>
      <c r="X5472" s="7"/>
      <c r="Y5472" s="7"/>
      <c r="Z5472" s="7"/>
    </row>
    <row r="5473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7"/>
      <c r="U5473" s="7"/>
      <c r="V5473" s="7"/>
      <c r="W5473" s="7"/>
      <c r="X5473" s="7"/>
      <c r="Y5473" s="7"/>
      <c r="Z5473" s="7"/>
    </row>
    <row r="5474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7"/>
      <c r="U5474" s="7"/>
      <c r="V5474" s="7"/>
      <c r="W5474" s="7"/>
      <c r="X5474" s="7"/>
      <c r="Y5474" s="7"/>
      <c r="Z5474" s="7"/>
    </row>
    <row r="547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7"/>
      <c r="U5475" s="7"/>
      <c r="V5475" s="7"/>
      <c r="W5475" s="7"/>
      <c r="X5475" s="7"/>
      <c r="Y5475" s="7"/>
      <c r="Z5475" s="7"/>
    </row>
    <row r="5476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7"/>
      <c r="U5476" s="7"/>
      <c r="V5476" s="7"/>
      <c r="W5476" s="7"/>
      <c r="X5476" s="7"/>
      <c r="Y5476" s="7"/>
      <c r="Z5476" s="7"/>
    </row>
    <row r="5477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7"/>
      <c r="U5477" s="7"/>
      <c r="V5477" s="7"/>
      <c r="W5477" s="7"/>
      <c r="X5477" s="7"/>
      <c r="Y5477" s="7"/>
      <c r="Z5477" s="7"/>
    </row>
    <row r="5478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7"/>
      <c r="U5478" s="7"/>
      <c r="V5478" s="7"/>
      <c r="W5478" s="7"/>
      <c r="X5478" s="7"/>
      <c r="Y5478" s="7"/>
      <c r="Z5478" s="7"/>
    </row>
    <row r="5479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7"/>
      <c r="U5479" s="7"/>
      <c r="V5479" s="7"/>
      <c r="W5479" s="7"/>
      <c r="X5479" s="7"/>
      <c r="Y5479" s="7"/>
      <c r="Z5479" s="7"/>
    </row>
    <row r="5480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7"/>
      <c r="U5480" s="7"/>
      <c r="V5480" s="7"/>
      <c r="W5480" s="7"/>
      <c r="X5480" s="7"/>
      <c r="Y5480" s="7"/>
      <c r="Z5480" s="7"/>
    </row>
    <row r="5481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7"/>
      <c r="U5481" s="7"/>
      <c r="V5481" s="7"/>
      <c r="W5481" s="7"/>
      <c r="X5481" s="7"/>
      <c r="Y5481" s="7"/>
      <c r="Z5481" s="7"/>
    </row>
    <row r="5482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7"/>
      <c r="U5482" s="7"/>
      <c r="V5482" s="7"/>
      <c r="W5482" s="7"/>
      <c r="X5482" s="7"/>
      <c r="Y5482" s="7"/>
      <c r="Z5482" s="7"/>
    </row>
    <row r="5483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7"/>
      <c r="U5483" s="7"/>
      <c r="V5483" s="7"/>
      <c r="W5483" s="7"/>
      <c r="X5483" s="7"/>
      <c r="Y5483" s="7"/>
      <c r="Z5483" s="7"/>
    </row>
    <row r="5484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7"/>
      <c r="U5484" s="7"/>
      <c r="V5484" s="7"/>
      <c r="W5484" s="7"/>
      <c r="X5484" s="7"/>
      <c r="Y5484" s="7"/>
      <c r="Z5484" s="7"/>
    </row>
    <row r="548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7"/>
      <c r="U5485" s="7"/>
      <c r="V5485" s="7"/>
      <c r="W5485" s="7"/>
      <c r="X5485" s="7"/>
      <c r="Y5485" s="7"/>
      <c r="Z5485" s="7"/>
    </row>
    <row r="5486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7"/>
      <c r="U5486" s="7"/>
      <c r="V5486" s="7"/>
      <c r="W5486" s="7"/>
      <c r="X5486" s="7"/>
      <c r="Y5486" s="7"/>
      <c r="Z5486" s="7"/>
    </row>
    <row r="5487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7"/>
      <c r="U5487" s="7"/>
      <c r="V5487" s="7"/>
      <c r="W5487" s="7"/>
      <c r="X5487" s="7"/>
      <c r="Y5487" s="7"/>
      <c r="Z5487" s="7"/>
    </row>
    <row r="5488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7"/>
      <c r="U5488" s="7"/>
      <c r="V5488" s="7"/>
      <c r="W5488" s="7"/>
      <c r="X5488" s="7"/>
      <c r="Y5488" s="7"/>
      <c r="Z5488" s="7"/>
    </row>
    <row r="5489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7"/>
      <c r="U5489" s="7"/>
      <c r="V5489" s="7"/>
      <c r="W5489" s="7"/>
      <c r="X5489" s="7"/>
      <c r="Y5489" s="7"/>
      <c r="Z5489" s="7"/>
    </row>
    <row r="5490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7"/>
      <c r="U5490" s="7"/>
      <c r="V5490" s="7"/>
      <c r="W5490" s="7"/>
      <c r="X5490" s="7"/>
      <c r="Y5490" s="7"/>
      <c r="Z5490" s="7"/>
    </row>
    <row r="5491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7"/>
      <c r="U5491" s="7"/>
      <c r="V5491" s="7"/>
      <c r="W5491" s="7"/>
      <c r="X5491" s="7"/>
      <c r="Y5491" s="7"/>
      <c r="Z5491" s="7"/>
    </row>
    <row r="5492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7"/>
      <c r="U5492" s="7"/>
      <c r="V5492" s="7"/>
      <c r="W5492" s="7"/>
      <c r="X5492" s="7"/>
      <c r="Y5492" s="7"/>
      <c r="Z5492" s="7"/>
    </row>
    <row r="5493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7"/>
      <c r="U5493" s="7"/>
      <c r="V5493" s="7"/>
      <c r="W5493" s="7"/>
      <c r="X5493" s="7"/>
      <c r="Y5493" s="7"/>
      <c r="Z5493" s="7"/>
    </row>
    <row r="5494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7"/>
      <c r="U5494" s="7"/>
      <c r="V5494" s="7"/>
      <c r="W5494" s="7"/>
      <c r="X5494" s="7"/>
      <c r="Y5494" s="7"/>
      <c r="Z5494" s="7"/>
    </row>
    <row r="549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7"/>
      <c r="U5495" s="7"/>
      <c r="V5495" s="7"/>
      <c r="W5495" s="7"/>
      <c r="X5495" s="7"/>
      <c r="Y5495" s="7"/>
      <c r="Z5495" s="7"/>
    </row>
    <row r="5496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7"/>
      <c r="U5496" s="7"/>
      <c r="V5496" s="7"/>
      <c r="W5496" s="7"/>
      <c r="X5496" s="7"/>
      <c r="Y5496" s="7"/>
      <c r="Z5496" s="7"/>
    </row>
    <row r="5497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7"/>
      <c r="U5497" s="7"/>
      <c r="V5497" s="7"/>
      <c r="W5497" s="7"/>
      <c r="X5497" s="7"/>
      <c r="Y5497" s="7"/>
      <c r="Z5497" s="7"/>
    </row>
    <row r="5498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7"/>
      <c r="U5498" s="7"/>
      <c r="V5498" s="7"/>
      <c r="W5498" s="7"/>
      <c r="X5498" s="7"/>
      <c r="Y5498" s="7"/>
      <c r="Z5498" s="7"/>
    </row>
    <row r="5499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7"/>
      <c r="U5499" s="7"/>
      <c r="V5499" s="7"/>
      <c r="W5499" s="7"/>
      <c r="X5499" s="7"/>
      <c r="Y5499" s="7"/>
      <c r="Z5499" s="7"/>
    </row>
    <row r="5500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7"/>
      <c r="U5500" s="7"/>
      <c r="V5500" s="7"/>
      <c r="W5500" s="7"/>
      <c r="X5500" s="7"/>
      <c r="Y5500" s="7"/>
      <c r="Z5500" s="7"/>
    </row>
    <row r="5501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7"/>
      <c r="U5501" s="7"/>
      <c r="V5501" s="7"/>
      <c r="W5501" s="7"/>
      <c r="X5501" s="7"/>
      <c r="Y5501" s="7"/>
      <c r="Z5501" s="7"/>
    </row>
    <row r="5502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7"/>
      <c r="U5502" s="7"/>
      <c r="V5502" s="7"/>
      <c r="W5502" s="7"/>
      <c r="X5502" s="7"/>
      <c r="Y5502" s="7"/>
      <c r="Z5502" s="7"/>
    </row>
    <row r="5503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7"/>
      <c r="U5503" s="7"/>
      <c r="V5503" s="7"/>
      <c r="W5503" s="7"/>
      <c r="X5503" s="7"/>
      <c r="Y5503" s="7"/>
      <c r="Z5503" s="7"/>
    </row>
    <row r="5504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7"/>
      <c r="U5504" s="7"/>
      <c r="V5504" s="7"/>
      <c r="W5504" s="7"/>
      <c r="X5504" s="7"/>
      <c r="Y5504" s="7"/>
      <c r="Z5504" s="7"/>
    </row>
    <row r="550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7"/>
      <c r="U5505" s="7"/>
      <c r="V5505" s="7"/>
      <c r="W5505" s="7"/>
      <c r="X5505" s="7"/>
      <c r="Y5505" s="7"/>
      <c r="Z5505" s="7"/>
    </row>
    <row r="5506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7"/>
      <c r="U5506" s="7"/>
      <c r="V5506" s="7"/>
      <c r="W5506" s="7"/>
      <c r="X5506" s="7"/>
      <c r="Y5506" s="7"/>
      <c r="Z5506" s="7"/>
    </row>
    <row r="5507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7"/>
      <c r="U5507" s="7"/>
      <c r="V5507" s="7"/>
      <c r="W5507" s="7"/>
      <c r="X5507" s="7"/>
      <c r="Y5507" s="7"/>
      <c r="Z5507" s="7"/>
    </row>
    <row r="5508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7"/>
      <c r="U5508" s="7"/>
      <c r="V5508" s="7"/>
      <c r="W5508" s="7"/>
      <c r="X5508" s="7"/>
      <c r="Y5508" s="7"/>
      <c r="Z5508" s="7"/>
    </row>
    <row r="5509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7"/>
      <c r="U5509" s="7"/>
      <c r="V5509" s="7"/>
      <c r="W5509" s="7"/>
      <c r="X5509" s="7"/>
      <c r="Y5509" s="7"/>
      <c r="Z5509" s="7"/>
    </row>
    <row r="5510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7"/>
      <c r="U5510" s="7"/>
      <c r="V5510" s="7"/>
      <c r="W5510" s="7"/>
      <c r="X5510" s="7"/>
      <c r="Y5510" s="7"/>
      <c r="Z5510" s="7"/>
    </row>
    <row r="5511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7"/>
      <c r="U5511" s="7"/>
      <c r="V5511" s="7"/>
      <c r="W5511" s="7"/>
      <c r="X5511" s="7"/>
      <c r="Y5511" s="7"/>
      <c r="Z5511" s="7"/>
    </row>
    <row r="5512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7"/>
      <c r="U5512" s="7"/>
      <c r="V5512" s="7"/>
      <c r="W5512" s="7"/>
      <c r="X5512" s="7"/>
      <c r="Y5512" s="7"/>
      <c r="Z5512" s="7"/>
    </row>
    <row r="5513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7"/>
      <c r="U5513" s="7"/>
      <c r="V5513" s="7"/>
      <c r="W5513" s="7"/>
      <c r="X5513" s="7"/>
      <c r="Y5513" s="7"/>
      <c r="Z5513" s="7"/>
    </row>
    <row r="5514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7"/>
      <c r="U5514" s="7"/>
      <c r="V5514" s="7"/>
      <c r="W5514" s="7"/>
      <c r="X5514" s="7"/>
      <c r="Y5514" s="7"/>
      <c r="Z5514" s="7"/>
    </row>
    <row r="551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7"/>
      <c r="U5515" s="7"/>
      <c r="V5515" s="7"/>
      <c r="W5515" s="7"/>
      <c r="X5515" s="7"/>
      <c r="Y5515" s="7"/>
      <c r="Z5515" s="7"/>
    </row>
    <row r="5516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7"/>
      <c r="U5516" s="7"/>
      <c r="V5516" s="7"/>
      <c r="W5516" s="7"/>
      <c r="X5516" s="7"/>
      <c r="Y5516" s="7"/>
      <c r="Z5516" s="7"/>
    </row>
    <row r="5517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7"/>
      <c r="U5517" s="7"/>
      <c r="V5517" s="7"/>
      <c r="W5517" s="7"/>
      <c r="X5517" s="7"/>
      <c r="Y5517" s="7"/>
      <c r="Z5517" s="7"/>
    </row>
    <row r="5518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7"/>
      <c r="U5518" s="7"/>
      <c r="V5518" s="7"/>
      <c r="W5518" s="7"/>
      <c r="X5518" s="7"/>
      <c r="Y5518" s="7"/>
      <c r="Z5518" s="7"/>
    </row>
    <row r="5519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7"/>
      <c r="U5519" s="7"/>
      <c r="V5519" s="7"/>
      <c r="W5519" s="7"/>
      <c r="X5519" s="7"/>
      <c r="Y5519" s="7"/>
      <c r="Z5519" s="7"/>
    </row>
    <row r="5520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7"/>
      <c r="U5520" s="7"/>
      <c r="V5520" s="7"/>
      <c r="W5520" s="7"/>
      <c r="X5520" s="7"/>
      <c r="Y5520" s="7"/>
      <c r="Z5520" s="7"/>
    </row>
    <row r="5521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7"/>
      <c r="U5521" s="7"/>
      <c r="V5521" s="7"/>
      <c r="W5521" s="7"/>
      <c r="X5521" s="7"/>
      <c r="Y5521" s="7"/>
      <c r="Z5521" s="7"/>
    </row>
    <row r="5522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7"/>
      <c r="U5522" s="7"/>
      <c r="V5522" s="7"/>
      <c r="W5522" s="7"/>
      <c r="X5522" s="7"/>
      <c r="Y5522" s="7"/>
      <c r="Z5522" s="7"/>
    </row>
    <row r="5523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7"/>
      <c r="U5523" s="7"/>
      <c r="V5523" s="7"/>
      <c r="W5523" s="7"/>
      <c r="X5523" s="7"/>
      <c r="Y5523" s="7"/>
      <c r="Z5523" s="7"/>
    </row>
    <row r="5524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7"/>
      <c r="U5524" s="7"/>
      <c r="V5524" s="7"/>
      <c r="W5524" s="7"/>
      <c r="X5524" s="7"/>
      <c r="Y5524" s="7"/>
      <c r="Z5524" s="7"/>
    </row>
    <row r="55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7"/>
      <c r="U5525" s="7"/>
      <c r="V5525" s="7"/>
      <c r="W5525" s="7"/>
      <c r="X5525" s="7"/>
      <c r="Y5525" s="7"/>
      <c r="Z5525" s="7"/>
    </row>
    <row r="5526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7"/>
      <c r="U5526" s="7"/>
      <c r="V5526" s="7"/>
      <c r="W5526" s="7"/>
      <c r="X5526" s="7"/>
      <c r="Y5526" s="7"/>
      <c r="Z5526" s="7"/>
    </row>
    <row r="5527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7"/>
      <c r="U5527" s="7"/>
      <c r="V5527" s="7"/>
      <c r="W5527" s="7"/>
      <c r="X5527" s="7"/>
      <c r="Y5527" s="7"/>
      <c r="Z5527" s="7"/>
    </row>
    <row r="5528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7"/>
      <c r="U5528" s="7"/>
      <c r="V5528" s="7"/>
      <c r="W5528" s="7"/>
      <c r="X5528" s="7"/>
      <c r="Y5528" s="7"/>
      <c r="Z5528" s="7"/>
    </row>
    <row r="5529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7"/>
      <c r="U5529" s="7"/>
      <c r="V5529" s="7"/>
      <c r="W5529" s="7"/>
      <c r="X5529" s="7"/>
      <c r="Y5529" s="7"/>
      <c r="Z5529" s="7"/>
    </row>
    <row r="5530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7"/>
      <c r="U5530" s="7"/>
      <c r="V5530" s="7"/>
      <c r="W5530" s="7"/>
      <c r="X5530" s="7"/>
      <c r="Y5530" s="7"/>
      <c r="Z5530" s="7"/>
    </row>
    <row r="5531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7"/>
      <c r="U5531" s="7"/>
      <c r="V5531" s="7"/>
      <c r="W5531" s="7"/>
      <c r="X5531" s="7"/>
      <c r="Y5531" s="7"/>
      <c r="Z5531" s="7"/>
    </row>
    <row r="5532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7"/>
      <c r="U5532" s="7"/>
      <c r="V5532" s="7"/>
      <c r="W5532" s="7"/>
      <c r="X5532" s="7"/>
      <c r="Y5532" s="7"/>
      <c r="Z5532" s="7"/>
    </row>
    <row r="5533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7"/>
      <c r="U5533" s="7"/>
      <c r="V5533" s="7"/>
      <c r="W5533" s="7"/>
      <c r="X5533" s="7"/>
      <c r="Y5533" s="7"/>
      <c r="Z5533" s="7"/>
    </row>
    <row r="5534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7"/>
      <c r="U5534" s="7"/>
      <c r="V5534" s="7"/>
      <c r="W5534" s="7"/>
      <c r="X5534" s="7"/>
      <c r="Y5534" s="7"/>
      <c r="Z5534" s="7"/>
    </row>
    <row r="553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7"/>
      <c r="U5535" s="7"/>
      <c r="V5535" s="7"/>
      <c r="W5535" s="7"/>
      <c r="X5535" s="7"/>
      <c r="Y5535" s="7"/>
      <c r="Z5535" s="7"/>
    </row>
    <row r="5536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7"/>
      <c r="U5536" s="7"/>
      <c r="V5536" s="7"/>
      <c r="W5536" s="7"/>
      <c r="X5536" s="7"/>
      <c r="Y5536" s="7"/>
      <c r="Z5536" s="7"/>
    </row>
    <row r="5537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7"/>
      <c r="U5537" s="7"/>
      <c r="V5537" s="7"/>
      <c r="W5537" s="7"/>
      <c r="X5537" s="7"/>
      <c r="Y5537" s="7"/>
      <c r="Z5537" s="7"/>
    </row>
    <row r="5538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7"/>
      <c r="U5538" s="7"/>
      <c r="V5538" s="7"/>
      <c r="W5538" s="7"/>
      <c r="X5538" s="7"/>
      <c r="Y5538" s="7"/>
      <c r="Z5538" s="7"/>
    </row>
    <row r="5539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7"/>
      <c r="U5539" s="7"/>
      <c r="V5539" s="7"/>
      <c r="W5539" s="7"/>
      <c r="X5539" s="7"/>
      <c r="Y5539" s="7"/>
      <c r="Z5539" s="7"/>
    </row>
    <row r="5540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7"/>
      <c r="U5540" s="7"/>
      <c r="V5540" s="7"/>
      <c r="W5540" s="7"/>
      <c r="X5540" s="7"/>
      <c r="Y5540" s="7"/>
      <c r="Z5540" s="7"/>
    </row>
    <row r="5541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7"/>
      <c r="U5541" s="7"/>
      <c r="V5541" s="7"/>
      <c r="W5541" s="7"/>
      <c r="X5541" s="7"/>
      <c r="Y5541" s="7"/>
      <c r="Z5541" s="7"/>
    </row>
    <row r="5542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7"/>
      <c r="U5542" s="7"/>
      <c r="V5542" s="7"/>
      <c r="W5542" s="7"/>
      <c r="X5542" s="7"/>
      <c r="Y5542" s="7"/>
      <c r="Z5542" s="7"/>
    </row>
    <row r="5543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7"/>
      <c r="U5543" s="7"/>
      <c r="V5543" s="7"/>
      <c r="W5543" s="7"/>
      <c r="X5543" s="7"/>
      <c r="Y5543" s="7"/>
      <c r="Z5543" s="7"/>
    </row>
    <row r="5544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7"/>
      <c r="U5544" s="7"/>
      <c r="V5544" s="7"/>
      <c r="W5544" s="7"/>
      <c r="X5544" s="7"/>
      <c r="Y5544" s="7"/>
      <c r="Z5544" s="7"/>
    </row>
    <row r="554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7"/>
      <c r="U5545" s="7"/>
      <c r="V5545" s="7"/>
      <c r="W5545" s="7"/>
      <c r="X5545" s="7"/>
      <c r="Y5545" s="7"/>
      <c r="Z5545" s="7"/>
    </row>
    <row r="5546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7"/>
      <c r="U5546" s="7"/>
      <c r="V5546" s="7"/>
      <c r="W5546" s="7"/>
      <c r="X5546" s="7"/>
      <c r="Y5546" s="7"/>
      <c r="Z5546" s="7"/>
    </row>
    <row r="5547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7"/>
      <c r="U5547" s="7"/>
      <c r="V5547" s="7"/>
      <c r="W5547" s="7"/>
      <c r="X5547" s="7"/>
      <c r="Y5547" s="7"/>
      <c r="Z5547" s="7"/>
    </row>
    <row r="5548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7"/>
      <c r="U5548" s="7"/>
      <c r="V5548" s="7"/>
      <c r="W5548" s="7"/>
      <c r="X5548" s="7"/>
      <c r="Y5548" s="7"/>
      <c r="Z5548" s="7"/>
    </row>
    <row r="5549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7"/>
      <c r="U5549" s="7"/>
      <c r="V5549" s="7"/>
      <c r="W5549" s="7"/>
      <c r="X5549" s="7"/>
      <c r="Y5549" s="7"/>
      <c r="Z5549" s="7"/>
    </row>
    <row r="5550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7"/>
      <c r="U5550" s="7"/>
      <c r="V5550" s="7"/>
      <c r="W5550" s="7"/>
      <c r="X5550" s="7"/>
      <c r="Y5550" s="7"/>
      <c r="Z5550" s="7"/>
    </row>
    <row r="5551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7"/>
      <c r="U5551" s="7"/>
      <c r="V5551" s="7"/>
      <c r="W5551" s="7"/>
      <c r="X5551" s="7"/>
      <c r="Y5551" s="7"/>
      <c r="Z5551" s="7"/>
    </row>
    <row r="5552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7"/>
      <c r="U5552" s="7"/>
      <c r="V5552" s="7"/>
      <c r="W5552" s="7"/>
      <c r="X5552" s="7"/>
      <c r="Y5552" s="7"/>
      <c r="Z5552" s="7"/>
    </row>
    <row r="5553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7"/>
      <c r="U5553" s="7"/>
      <c r="V5553" s="7"/>
      <c r="W5553" s="7"/>
      <c r="X5553" s="7"/>
      <c r="Y5553" s="7"/>
      <c r="Z5553" s="7"/>
    </row>
    <row r="5554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7"/>
      <c r="U5554" s="7"/>
      <c r="V5554" s="7"/>
      <c r="W5554" s="7"/>
      <c r="X5554" s="7"/>
      <c r="Y5554" s="7"/>
      <c r="Z5554" s="7"/>
    </row>
    <row r="555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7"/>
      <c r="U5555" s="7"/>
      <c r="V5555" s="7"/>
      <c r="W5555" s="7"/>
      <c r="X5555" s="7"/>
      <c r="Y5555" s="7"/>
      <c r="Z5555" s="7"/>
    </row>
    <row r="5556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7"/>
      <c r="U5556" s="7"/>
      <c r="V5556" s="7"/>
      <c r="W5556" s="7"/>
      <c r="X5556" s="7"/>
      <c r="Y5556" s="7"/>
      <c r="Z5556" s="7"/>
    </row>
    <row r="5557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7"/>
      <c r="U5557" s="7"/>
      <c r="V5557" s="7"/>
      <c r="W5557" s="7"/>
      <c r="X5557" s="7"/>
      <c r="Y5557" s="7"/>
      <c r="Z5557" s="7"/>
    </row>
    <row r="5558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7"/>
      <c r="U5558" s="7"/>
      <c r="V5558" s="7"/>
      <c r="W5558" s="7"/>
      <c r="X5558" s="7"/>
      <c r="Y5558" s="7"/>
      <c r="Z5558" s="7"/>
    </row>
    <row r="5559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7"/>
      <c r="U5559" s="7"/>
      <c r="V5559" s="7"/>
      <c r="W5559" s="7"/>
      <c r="X5559" s="7"/>
      <c r="Y5559" s="7"/>
      <c r="Z5559" s="7"/>
    </row>
    <row r="5560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7"/>
      <c r="U5560" s="7"/>
      <c r="V5560" s="7"/>
      <c r="W5560" s="7"/>
      <c r="X5560" s="7"/>
      <c r="Y5560" s="7"/>
      <c r="Z5560" s="7"/>
    </row>
    <row r="5561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7"/>
      <c r="U5561" s="7"/>
      <c r="V5561" s="7"/>
      <c r="W5561" s="7"/>
      <c r="X5561" s="7"/>
      <c r="Y5561" s="7"/>
      <c r="Z5561" s="7"/>
    </row>
    <row r="5562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7"/>
      <c r="U5562" s="7"/>
      <c r="V5562" s="7"/>
      <c r="W5562" s="7"/>
      <c r="X5562" s="7"/>
      <c r="Y5562" s="7"/>
      <c r="Z5562" s="7"/>
    </row>
    <row r="5563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7"/>
      <c r="U5563" s="7"/>
      <c r="V5563" s="7"/>
      <c r="W5563" s="7"/>
      <c r="X5563" s="7"/>
      <c r="Y5563" s="7"/>
      <c r="Z5563" s="7"/>
    </row>
    <row r="5564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7"/>
      <c r="U5564" s="7"/>
      <c r="V5564" s="7"/>
      <c r="W5564" s="7"/>
      <c r="X5564" s="7"/>
      <c r="Y5564" s="7"/>
      <c r="Z5564" s="7"/>
    </row>
    <row r="556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7"/>
      <c r="U5565" s="7"/>
      <c r="V5565" s="7"/>
      <c r="W5565" s="7"/>
      <c r="X5565" s="7"/>
      <c r="Y5565" s="7"/>
      <c r="Z5565" s="7"/>
    </row>
    <row r="5566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7"/>
      <c r="U5566" s="7"/>
      <c r="V5566" s="7"/>
      <c r="W5566" s="7"/>
      <c r="X5566" s="7"/>
      <c r="Y5566" s="7"/>
      <c r="Z5566" s="7"/>
    </row>
    <row r="5567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7"/>
      <c r="U5567" s="7"/>
      <c r="V5567" s="7"/>
      <c r="W5567" s="7"/>
      <c r="X5567" s="7"/>
      <c r="Y5567" s="7"/>
      <c r="Z5567" s="7"/>
    </row>
    <row r="5568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7"/>
      <c r="U5568" s="7"/>
      <c r="V5568" s="7"/>
      <c r="W5568" s="7"/>
      <c r="X5568" s="7"/>
      <c r="Y5568" s="7"/>
      <c r="Z5568" s="7"/>
    </row>
    <row r="5569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7"/>
      <c r="U5569" s="7"/>
      <c r="V5569" s="7"/>
      <c r="W5569" s="7"/>
      <c r="X5569" s="7"/>
      <c r="Y5569" s="7"/>
      <c r="Z5569" s="7"/>
    </row>
    <row r="5570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7"/>
      <c r="U5570" s="7"/>
      <c r="V5570" s="7"/>
      <c r="W5570" s="7"/>
      <c r="X5570" s="7"/>
      <c r="Y5570" s="7"/>
      <c r="Z5570" s="7"/>
    </row>
    <row r="5571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7"/>
      <c r="U5571" s="7"/>
      <c r="V5571" s="7"/>
      <c r="W5571" s="7"/>
      <c r="X5571" s="7"/>
      <c r="Y5571" s="7"/>
      <c r="Z5571" s="7"/>
    </row>
    <row r="5572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7"/>
      <c r="U5572" s="7"/>
      <c r="V5572" s="7"/>
      <c r="W5572" s="7"/>
      <c r="X5572" s="7"/>
      <c r="Y5572" s="7"/>
      <c r="Z5572" s="7"/>
    </row>
    <row r="5573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7"/>
      <c r="U5573" s="7"/>
      <c r="V5573" s="7"/>
      <c r="W5573" s="7"/>
      <c r="X5573" s="7"/>
      <c r="Y5573" s="7"/>
      <c r="Z5573" s="7"/>
    </row>
    <row r="5574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7"/>
      <c r="U5574" s="7"/>
      <c r="V5574" s="7"/>
      <c r="W5574" s="7"/>
      <c r="X5574" s="7"/>
      <c r="Y5574" s="7"/>
      <c r="Z5574" s="7"/>
    </row>
    <row r="557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7"/>
      <c r="U5575" s="7"/>
      <c r="V5575" s="7"/>
      <c r="W5575" s="7"/>
      <c r="X5575" s="7"/>
      <c r="Y5575" s="7"/>
      <c r="Z5575" s="7"/>
    </row>
    <row r="5576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7"/>
      <c r="U5576" s="7"/>
      <c r="V5576" s="7"/>
      <c r="W5576" s="7"/>
      <c r="X5576" s="7"/>
      <c r="Y5576" s="7"/>
      <c r="Z5576" s="7"/>
    </row>
    <row r="5577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7"/>
      <c r="U5577" s="7"/>
      <c r="V5577" s="7"/>
      <c r="W5577" s="7"/>
      <c r="X5577" s="7"/>
      <c r="Y5577" s="7"/>
      <c r="Z5577" s="7"/>
    </row>
    <row r="5578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7"/>
      <c r="U5578" s="7"/>
      <c r="V5578" s="7"/>
      <c r="W5578" s="7"/>
      <c r="X5578" s="7"/>
      <c r="Y5578" s="7"/>
      <c r="Z5578" s="7"/>
    </row>
    <row r="5579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7"/>
      <c r="U5579" s="7"/>
      <c r="V5579" s="7"/>
      <c r="W5579" s="7"/>
      <c r="X5579" s="7"/>
      <c r="Y5579" s="7"/>
      <c r="Z5579" s="7"/>
    </row>
    <row r="5580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7"/>
      <c r="U5580" s="7"/>
      <c r="V5580" s="7"/>
      <c r="W5580" s="7"/>
      <c r="X5580" s="7"/>
      <c r="Y5580" s="7"/>
      <c r="Z5580" s="7"/>
    </row>
    <row r="5581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7"/>
      <c r="U5581" s="7"/>
      <c r="V5581" s="7"/>
      <c r="W5581" s="7"/>
      <c r="X5581" s="7"/>
      <c r="Y5581" s="7"/>
      <c r="Z5581" s="7"/>
    </row>
    <row r="5582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7"/>
      <c r="U5582" s="7"/>
      <c r="V5582" s="7"/>
      <c r="W5582" s="7"/>
      <c r="X5582" s="7"/>
      <c r="Y5582" s="7"/>
      <c r="Z5582" s="7"/>
    </row>
    <row r="5583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7"/>
      <c r="U5583" s="7"/>
      <c r="V5583" s="7"/>
      <c r="W5583" s="7"/>
      <c r="X5583" s="7"/>
      <c r="Y5583" s="7"/>
      <c r="Z5583" s="7"/>
    </row>
    <row r="5584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7"/>
      <c r="U5584" s="7"/>
      <c r="V5584" s="7"/>
      <c r="W5584" s="7"/>
      <c r="X5584" s="7"/>
      <c r="Y5584" s="7"/>
      <c r="Z5584" s="7"/>
    </row>
    <row r="558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7"/>
      <c r="U5585" s="7"/>
      <c r="V5585" s="7"/>
      <c r="W5585" s="7"/>
      <c r="X5585" s="7"/>
      <c r="Y5585" s="7"/>
      <c r="Z5585" s="7"/>
    </row>
    <row r="5586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7"/>
      <c r="U5586" s="7"/>
      <c r="V5586" s="7"/>
      <c r="W5586" s="7"/>
      <c r="X5586" s="7"/>
      <c r="Y5586" s="7"/>
      <c r="Z5586" s="7"/>
    </row>
    <row r="5587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7"/>
      <c r="U5587" s="7"/>
      <c r="V5587" s="7"/>
      <c r="W5587" s="7"/>
      <c r="X5587" s="7"/>
      <c r="Y5587" s="7"/>
      <c r="Z5587" s="7"/>
    </row>
    <row r="5588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7"/>
      <c r="U5588" s="7"/>
      <c r="V5588" s="7"/>
      <c r="W5588" s="7"/>
      <c r="X5588" s="7"/>
      <c r="Y5588" s="7"/>
      <c r="Z5588" s="7"/>
    </row>
    <row r="5589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7"/>
      <c r="U5589" s="7"/>
      <c r="V5589" s="7"/>
      <c r="W5589" s="7"/>
      <c r="X5589" s="7"/>
      <c r="Y5589" s="7"/>
      <c r="Z5589" s="7"/>
    </row>
    <row r="5590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7"/>
      <c r="U5590" s="7"/>
      <c r="V5590" s="7"/>
      <c r="W5590" s="7"/>
      <c r="X5590" s="7"/>
      <c r="Y5590" s="7"/>
      <c r="Z5590" s="7"/>
    </row>
    <row r="5591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7"/>
      <c r="U5591" s="7"/>
      <c r="V5591" s="7"/>
      <c r="W5591" s="7"/>
      <c r="X5591" s="7"/>
      <c r="Y5591" s="7"/>
      <c r="Z5591" s="7"/>
    </row>
    <row r="5592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7"/>
      <c r="U5592" s="7"/>
      <c r="V5592" s="7"/>
      <c r="W5592" s="7"/>
      <c r="X5592" s="7"/>
      <c r="Y5592" s="7"/>
      <c r="Z5592" s="7"/>
    </row>
    <row r="5593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7"/>
      <c r="U5593" s="7"/>
      <c r="V5593" s="7"/>
      <c r="W5593" s="7"/>
      <c r="X5593" s="7"/>
      <c r="Y5593" s="7"/>
      <c r="Z5593" s="7"/>
    </row>
    <row r="5594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7"/>
      <c r="U5594" s="7"/>
      <c r="V5594" s="7"/>
      <c r="W5594" s="7"/>
      <c r="X5594" s="7"/>
      <c r="Y5594" s="7"/>
      <c r="Z5594" s="7"/>
    </row>
    <row r="559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7"/>
      <c r="U5595" s="7"/>
      <c r="V5595" s="7"/>
      <c r="W5595" s="7"/>
      <c r="X5595" s="7"/>
      <c r="Y5595" s="7"/>
      <c r="Z5595" s="7"/>
    </row>
    <row r="5596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7"/>
      <c r="U5596" s="7"/>
      <c r="V5596" s="7"/>
      <c r="W5596" s="7"/>
      <c r="X5596" s="7"/>
      <c r="Y5596" s="7"/>
      <c r="Z5596" s="7"/>
    </row>
    <row r="5597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7"/>
      <c r="U5597" s="7"/>
      <c r="V5597" s="7"/>
      <c r="W5597" s="7"/>
      <c r="X5597" s="7"/>
      <c r="Y5597" s="7"/>
      <c r="Z5597" s="7"/>
    </row>
    <row r="5598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7"/>
      <c r="U5598" s="7"/>
      <c r="V5598" s="7"/>
      <c r="W5598" s="7"/>
      <c r="X5598" s="7"/>
      <c r="Y5598" s="7"/>
      <c r="Z5598" s="7"/>
    </row>
    <row r="5599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7"/>
      <c r="U5599" s="7"/>
      <c r="V5599" s="7"/>
      <c r="W5599" s="7"/>
      <c r="X5599" s="7"/>
      <c r="Y5599" s="7"/>
      <c r="Z5599" s="7"/>
    </row>
    <row r="5600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7"/>
      <c r="U5600" s="7"/>
      <c r="V5600" s="7"/>
      <c r="W5600" s="7"/>
      <c r="X5600" s="7"/>
      <c r="Y5600" s="7"/>
      <c r="Z5600" s="7"/>
    </row>
    <row r="5601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7"/>
      <c r="U5601" s="7"/>
      <c r="V5601" s="7"/>
      <c r="W5601" s="7"/>
      <c r="X5601" s="7"/>
      <c r="Y5601" s="7"/>
      <c r="Z5601" s="7"/>
    </row>
    <row r="5602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7"/>
      <c r="U5602" s="7"/>
      <c r="V5602" s="7"/>
      <c r="W5602" s="7"/>
      <c r="X5602" s="7"/>
      <c r="Y5602" s="7"/>
      <c r="Z5602" s="7"/>
    </row>
    <row r="5603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7"/>
      <c r="U5603" s="7"/>
      <c r="V5603" s="7"/>
      <c r="W5603" s="7"/>
      <c r="X5603" s="7"/>
      <c r="Y5603" s="7"/>
      <c r="Z5603" s="7"/>
    </row>
    <row r="5604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7"/>
      <c r="U5604" s="7"/>
      <c r="V5604" s="7"/>
      <c r="W5604" s="7"/>
      <c r="X5604" s="7"/>
      <c r="Y5604" s="7"/>
      <c r="Z5604" s="7"/>
    </row>
    <row r="560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7"/>
      <c r="U5605" s="7"/>
      <c r="V5605" s="7"/>
      <c r="W5605" s="7"/>
      <c r="X5605" s="7"/>
      <c r="Y5605" s="7"/>
      <c r="Z5605" s="7"/>
    </row>
    <row r="5606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7"/>
      <c r="U5606" s="7"/>
      <c r="V5606" s="7"/>
      <c r="W5606" s="7"/>
      <c r="X5606" s="7"/>
      <c r="Y5606" s="7"/>
      <c r="Z5606" s="7"/>
    </row>
    <row r="5607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7"/>
      <c r="U5607" s="7"/>
      <c r="V5607" s="7"/>
      <c r="W5607" s="7"/>
      <c r="X5607" s="7"/>
      <c r="Y5607" s="7"/>
      <c r="Z5607" s="7"/>
    </row>
    <row r="5608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7"/>
      <c r="U5608" s="7"/>
      <c r="V5608" s="7"/>
      <c r="W5608" s="7"/>
      <c r="X5608" s="7"/>
      <c r="Y5608" s="7"/>
      <c r="Z5608" s="7"/>
    </row>
    <row r="5609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7"/>
      <c r="U5609" s="7"/>
      <c r="V5609" s="7"/>
      <c r="W5609" s="7"/>
      <c r="X5609" s="7"/>
      <c r="Y5609" s="7"/>
      <c r="Z5609" s="7"/>
    </row>
    <row r="5610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7"/>
      <c r="U5610" s="7"/>
      <c r="V5610" s="7"/>
      <c r="W5610" s="7"/>
      <c r="X5610" s="7"/>
      <c r="Y5610" s="7"/>
      <c r="Z5610" s="7"/>
    </row>
    <row r="5611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7"/>
      <c r="U5611" s="7"/>
      <c r="V5611" s="7"/>
      <c r="W5611" s="7"/>
      <c r="X5611" s="7"/>
      <c r="Y5611" s="7"/>
      <c r="Z5611" s="7"/>
    </row>
    <row r="5612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7"/>
      <c r="U5612" s="7"/>
      <c r="V5612" s="7"/>
      <c r="W5612" s="7"/>
      <c r="X5612" s="7"/>
      <c r="Y5612" s="7"/>
      <c r="Z5612" s="7"/>
    </row>
    <row r="5613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7"/>
      <c r="U5613" s="7"/>
      <c r="V5613" s="7"/>
      <c r="W5613" s="7"/>
      <c r="X5613" s="7"/>
      <c r="Y5613" s="7"/>
      <c r="Z5613" s="7"/>
    </row>
    <row r="5614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7"/>
      <c r="U5614" s="7"/>
      <c r="V5614" s="7"/>
      <c r="W5614" s="7"/>
      <c r="X5614" s="7"/>
      <c r="Y5614" s="7"/>
      <c r="Z5614" s="7"/>
    </row>
    <row r="561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7"/>
      <c r="U5615" s="7"/>
      <c r="V5615" s="7"/>
      <c r="W5615" s="7"/>
      <c r="X5615" s="7"/>
      <c r="Y5615" s="7"/>
      <c r="Z5615" s="7"/>
    </row>
    <row r="5616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7"/>
      <c r="U5616" s="7"/>
      <c r="V5616" s="7"/>
      <c r="W5616" s="7"/>
      <c r="X5616" s="7"/>
      <c r="Y5616" s="7"/>
      <c r="Z5616" s="7"/>
    </row>
    <row r="5617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7"/>
      <c r="U5617" s="7"/>
      <c r="V5617" s="7"/>
      <c r="W5617" s="7"/>
      <c r="X5617" s="7"/>
      <c r="Y5617" s="7"/>
      <c r="Z5617" s="7"/>
    </row>
    <row r="5618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7"/>
      <c r="U5618" s="7"/>
      <c r="V5618" s="7"/>
      <c r="W5618" s="7"/>
      <c r="X5618" s="7"/>
      <c r="Y5618" s="7"/>
      <c r="Z5618" s="7"/>
    </row>
    <row r="5619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7"/>
      <c r="U5619" s="7"/>
      <c r="V5619" s="7"/>
      <c r="W5619" s="7"/>
      <c r="X5619" s="7"/>
      <c r="Y5619" s="7"/>
      <c r="Z5619" s="7"/>
    </row>
    <row r="5620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7"/>
      <c r="U5620" s="7"/>
      <c r="V5620" s="7"/>
      <c r="W5620" s="7"/>
      <c r="X5620" s="7"/>
      <c r="Y5620" s="7"/>
      <c r="Z5620" s="7"/>
    </row>
    <row r="5621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7"/>
      <c r="U5621" s="7"/>
      <c r="V5621" s="7"/>
      <c r="W5621" s="7"/>
      <c r="X5621" s="7"/>
      <c r="Y5621" s="7"/>
      <c r="Z5621" s="7"/>
    </row>
    <row r="5622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7"/>
      <c r="U5622" s="7"/>
      <c r="V5622" s="7"/>
      <c r="W5622" s="7"/>
      <c r="X5622" s="7"/>
      <c r="Y5622" s="7"/>
      <c r="Z5622" s="7"/>
    </row>
    <row r="5623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7"/>
      <c r="U5623" s="7"/>
      <c r="V5623" s="7"/>
      <c r="W5623" s="7"/>
      <c r="X5623" s="7"/>
      <c r="Y5623" s="7"/>
      <c r="Z5623" s="7"/>
    </row>
    <row r="5624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7"/>
      <c r="U5624" s="7"/>
      <c r="V5624" s="7"/>
      <c r="W5624" s="7"/>
      <c r="X5624" s="7"/>
      <c r="Y5624" s="7"/>
      <c r="Z5624" s="7"/>
    </row>
    <row r="56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7"/>
      <c r="U5625" s="7"/>
      <c r="V5625" s="7"/>
      <c r="W5625" s="7"/>
      <c r="X5625" s="7"/>
      <c r="Y5625" s="7"/>
      <c r="Z5625" s="7"/>
    </row>
    <row r="5626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7"/>
      <c r="U5626" s="7"/>
      <c r="V5626" s="7"/>
      <c r="W5626" s="7"/>
      <c r="X5626" s="7"/>
      <c r="Y5626" s="7"/>
      <c r="Z5626" s="7"/>
    </row>
    <row r="5627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7"/>
      <c r="U5627" s="7"/>
      <c r="V5627" s="7"/>
      <c r="W5627" s="7"/>
      <c r="X5627" s="7"/>
      <c r="Y5627" s="7"/>
      <c r="Z5627" s="7"/>
    </row>
    <row r="5628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7"/>
      <c r="U5628" s="7"/>
      <c r="V5628" s="7"/>
      <c r="W5628" s="7"/>
      <c r="X5628" s="7"/>
      <c r="Y5628" s="7"/>
      <c r="Z5628" s="7"/>
    </row>
    <row r="5629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7"/>
      <c r="U5629" s="7"/>
      <c r="V5629" s="7"/>
      <c r="W5629" s="7"/>
      <c r="X5629" s="7"/>
      <c r="Y5629" s="7"/>
      <c r="Z5629" s="7"/>
    </row>
    <row r="5630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7"/>
      <c r="U5630" s="7"/>
      <c r="V5630" s="7"/>
      <c r="W5630" s="7"/>
      <c r="X5630" s="7"/>
      <c r="Y5630" s="7"/>
      <c r="Z5630" s="7"/>
    </row>
    <row r="5631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7"/>
      <c r="U5631" s="7"/>
      <c r="V5631" s="7"/>
      <c r="W5631" s="7"/>
      <c r="X5631" s="7"/>
      <c r="Y5631" s="7"/>
      <c r="Z5631" s="7"/>
    </row>
    <row r="5632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7"/>
      <c r="U5632" s="7"/>
      <c r="V5632" s="7"/>
      <c r="W5632" s="7"/>
      <c r="X5632" s="7"/>
      <c r="Y5632" s="7"/>
      <c r="Z5632" s="7"/>
    </row>
    <row r="5633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7"/>
      <c r="U5633" s="7"/>
      <c r="V5633" s="7"/>
      <c r="W5633" s="7"/>
      <c r="X5633" s="7"/>
      <c r="Y5633" s="7"/>
      <c r="Z5633" s="7"/>
    </row>
    <row r="5634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7"/>
      <c r="U5634" s="7"/>
      <c r="V5634" s="7"/>
      <c r="W5634" s="7"/>
      <c r="X5634" s="7"/>
      <c r="Y5634" s="7"/>
      <c r="Z5634" s="7"/>
    </row>
    <row r="563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7"/>
      <c r="U5635" s="7"/>
      <c r="V5635" s="7"/>
      <c r="W5635" s="7"/>
      <c r="X5635" s="7"/>
      <c r="Y5635" s="7"/>
      <c r="Z5635" s="7"/>
    </row>
    <row r="5636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7"/>
      <c r="U5636" s="7"/>
      <c r="V5636" s="7"/>
      <c r="W5636" s="7"/>
      <c r="X5636" s="7"/>
      <c r="Y5636" s="7"/>
      <c r="Z5636" s="7"/>
    </row>
    <row r="5637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7"/>
      <c r="U5637" s="7"/>
      <c r="V5637" s="7"/>
      <c r="W5637" s="7"/>
      <c r="X5637" s="7"/>
      <c r="Y5637" s="7"/>
      <c r="Z5637" s="7"/>
    </row>
    <row r="5638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7"/>
      <c r="U5638" s="7"/>
      <c r="V5638" s="7"/>
      <c r="W5638" s="7"/>
      <c r="X5638" s="7"/>
      <c r="Y5638" s="7"/>
      <c r="Z5638" s="7"/>
    </row>
    <row r="5639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7"/>
      <c r="U5639" s="7"/>
      <c r="V5639" s="7"/>
      <c r="W5639" s="7"/>
      <c r="X5639" s="7"/>
      <c r="Y5639" s="7"/>
      <c r="Z5639" s="7"/>
    </row>
    <row r="5640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7"/>
      <c r="U5640" s="7"/>
      <c r="V5640" s="7"/>
      <c r="W5640" s="7"/>
      <c r="X5640" s="7"/>
      <c r="Y5640" s="7"/>
      <c r="Z5640" s="7"/>
    </row>
    <row r="5641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7"/>
      <c r="U5641" s="7"/>
      <c r="V5641" s="7"/>
      <c r="W5641" s="7"/>
      <c r="X5641" s="7"/>
      <c r="Y5641" s="7"/>
      <c r="Z5641" s="7"/>
    </row>
    <row r="5642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7"/>
      <c r="U5642" s="7"/>
      <c r="V5642" s="7"/>
      <c r="W5642" s="7"/>
      <c r="X5642" s="7"/>
      <c r="Y5642" s="7"/>
      <c r="Z5642" s="7"/>
    </row>
    <row r="5643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7"/>
      <c r="U5643" s="7"/>
      <c r="V5643" s="7"/>
      <c r="W5643" s="7"/>
      <c r="X5643" s="7"/>
      <c r="Y5643" s="7"/>
      <c r="Z5643" s="7"/>
    </row>
    <row r="5644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7"/>
      <c r="U5644" s="7"/>
      <c r="V5644" s="7"/>
      <c r="W5644" s="7"/>
      <c r="X5644" s="7"/>
      <c r="Y5644" s="7"/>
      <c r="Z5644" s="7"/>
    </row>
    <row r="564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7"/>
      <c r="U5645" s="7"/>
      <c r="V5645" s="7"/>
      <c r="W5645" s="7"/>
      <c r="X5645" s="7"/>
      <c r="Y5645" s="7"/>
      <c r="Z5645" s="7"/>
    </row>
    <row r="5646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7"/>
      <c r="U5646" s="7"/>
      <c r="V5646" s="7"/>
      <c r="W5646" s="7"/>
      <c r="X5646" s="7"/>
      <c r="Y5646" s="7"/>
      <c r="Z5646" s="7"/>
    </row>
    <row r="5647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7"/>
      <c r="U5647" s="7"/>
      <c r="V5647" s="7"/>
      <c r="W5647" s="7"/>
      <c r="X5647" s="7"/>
      <c r="Y5647" s="7"/>
      <c r="Z5647" s="7"/>
    </row>
    <row r="5648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7"/>
      <c r="U5648" s="7"/>
      <c r="V5648" s="7"/>
      <c r="W5648" s="7"/>
      <c r="X5648" s="7"/>
      <c r="Y5648" s="7"/>
      <c r="Z5648" s="7"/>
    </row>
    <row r="5649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7"/>
      <c r="U5649" s="7"/>
      <c r="V5649" s="7"/>
      <c r="W5649" s="7"/>
      <c r="X5649" s="7"/>
      <c r="Y5649" s="7"/>
      <c r="Z5649" s="7"/>
    </row>
    <row r="5650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7"/>
      <c r="U5650" s="7"/>
      <c r="V5650" s="7"/>
      <c r="W5650" s="7"/>
      <c r="X5650" s="7"/>
      <c r="Y5650" s="7"/>
      <c r="Z5650" s="7"/>
    </row>
    <row r="5651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7"/>
      <c r="U5651" s="7"/>
      <c r="V5651" s="7"/>
      <c r="W5651" s="7"/>
      <c r="X5651" s="7"/>
      <c r="Y5651" s="7"/>
      <c r="Z5651" s="7"/>
    </row>
    <row r="5652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7"/>
      <c r="U5652" s="7"/>
      <c r="V5652" s="7"/>
      <c r="W5652" s="7"/>
      <c r="X5652" s="7"/>
      <c r="Y5652" s="7"/>
      <c r="Z5652" s="7"/>
    </row>
    <row r="5653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7"/>
      <c r="U5653" s="7"/>
      <c r="V5653" s="7"/>
      <c r="W5653" s="7"/>
      <c r="X5653" s="7"/>
      <c r="Y5653" s="7"/>
      <c r="Z5653" s="7"/>
    </row>
    <row r="5654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7"/>
      <c r="U5654" s="7"/>
      <c r="V5654" s="7"/>
      <c r="W5654" s="7"/>
      <c r="X5654" s="7"/>
      <c r="Y5654" s="7"/>
      <c r="Z5654" s="7"/>
    </row>
    <row r="565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7"/>
      <c r="U5655" s="7"/>
      <c r="V5655" s="7"/>
      <c r="W5655" s="7"/>
      <c r="X5655" s="7"/>
      <c r="Y5655" s="7"/>
      <c r="Z5655" s="7"/>
    </row>
    <row r="5656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7"/>
      <c r="U5656" s="7"/>
      <c r="V5656" s="7"/>
      <c r="W5656" s="7"/>
      <c r="X5656" s="7"/>
      <c r="Y5656" s="7"/>
      <c r="Z5656" s="7"/>
    </row>
    <row r="5657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7"/>
      <c r="U5657" s="7"/>
      <c r="V5657" s="7"/>
      <c r="W5657" s="7"/>
      <c r="X5657" s="7"/>
      <c r="Y5657" s="7"/>
      <c r="Z5657" s="7"/>
    </row>
    <row r="5658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7"/>
      <c r="U5658" s="7"/>
      <c r="V5658" s="7"/>
      <c r="W5658" s="7"/>
      <c r="X5658" s="7"/>
      <c r="Y5658" s="7"/>
      <c r="Z5658" s="7"/>
    </row>
    <row r="5659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7"/>
      <c r="U5659" s="7"/>
      <c r="V5659" s="7"/>
      <c r="W5659" s="7"/>
      <c r="X5659" s="7"/>
      <c r="Y5659" s="7"/>
      <c r="Z5659" s="7"/>
    </row>
    <row r="5660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7"/>
      <c r="U5660" s="7"/>
      <c r="V5660" s="7"/>
      <c r="W5660" s="7"/>
      <c r="X5660" s="7"/>
      <c r="Y5660" s="7"/>
      <c r="Z5660" s="7"/>
    </row>
    <row r="5661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7"/>
      <c r="U5661" s="7"/>
      <c r="V5661" s="7"/>
      <c r="W5661" s="7"/>
      <c r="X5661" s="7"/>
      <c r="Y5661" s="7"/>
      <c r="Z5661" s="7"/>
    </row>
    <row r="5662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7"/>
      <c r="U5662" s="7"/>
      <c r="V5662" s="7"/>
      <c r="W5662" s="7"/>
      <c r="X5662" s="7"/>
      <c r="Y5662" s="7"/>
      <c r="Z5662" s="7"/>
    </row>
    <row r="5663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7"/>
      <c r="U5663" s="7"/>
      <c r="V5663" s="7"/>
      <c r="W5663" s="7"/>
      <c r="X5663" s="7"/>
      <c r="Y5663" s="7"/>
      <c r="Z5663" s="7"/>
    </row>
    <row r="5664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7"/>
      <c r="U5664" s="7"/>
      <c r="V5664" s="7"/>
      <c r="W5664" s="7"/>
      <c r="X5664" s="7"/>
      <c r="Y5664" s="7"/>
      <c r="Z5664" s="7"/>
    </row>
    <row r="566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7"/>
      <c r="U5665" s="7"/>
      <c r="V5665" s="7"/>
      <c r="W5665" s="7"/>
      <c r="X5665" s="7"/>
      <c r="Y5665" s="7"/>
      <c r="Z5665" s="7"/>
    </row>
    <row r="5666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7"/>
      <c r="U5666" s="7"/>
      <c r="V5666" s="7"/>
      <c r="W5666" s="7"/>
      <c r="X5666" s="7"/>
      <c r="Y5666" s="7"/>
      <c r="Z5666" s="7"/>
    </row>
    <row r="5667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7"/>
      <c r="U5667" s="7"/>
      <c r="V5667" s="7"/>
      <c r="W5667" s="7"/>
      <c r="X5667" s="7"/>
      <c r="Y5667" s="7"/>
      <c r="Z5667" s="7"/>
    </row>
    <row r="5668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7"/>
      <c r="U5668" s="7"/>
      <c r="V5668" s="7"/>
      <c r="W5668" s="7"/>
      <c r="X5668" s="7"/>
      <c r="Y5668" s="7"/>
      <c r="Z5668" s="7"/>
    </row>
    <row r="5669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7"/>
      <c r="U5669" s="7"/>
      <c r="V5669" s="7"/>
      <c r="W5669" s="7"/>
      <c r="X5669" s="7"/>
      <c r="Y5669" s="7"/>
      <c r="Z5669" s="7"/>
    </row>
    <row r="5670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7"/>
      <c r="U5670" s="7"/>
      <c r="V5670" s="7"/>
      <c r="W5670" s="7"/>
      <c r="X5670" s="7"/>
      <c r="Y5670" s="7"/>
      <c r="Z5670" s="7"/>
    </row>
    <row r="5671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7"/>
      <c r="U5671" s="7"/>
      <c r="V5671" s="7"/>
      <c r="W5671" s="7"/>
      <c r="X5671" s="7"/>
      <c r="Y5671" s="7"/>
      <c r="Z5671" s="7"/>
    </row>
    <row r="5672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7"/>
      <c r="U5672" s="7"/>
      <c r="V5672" s="7"/>
      <c r="W5672" s="7"/>
      <c r="X5672" s="7"/>
      <c r="Y5672" s="7"/>
      <c r="Z5672" s="7"/>
    </row>
    <row r="5673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7"/>
      <c r="U5673" s="7"/>
      <c r="V5673" s="7"/>
      <c r="W5673" s="7"/>
      <c r="X5673" s="7"/>
      <c r="Y5673" s="7"/>
      <c r="Z5673" s="7"/>
    </row>
    <row r="5674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7"/>
      <c r="U5674" s="7"/>
      <c r="V5674" s="7"/>
      <c r="W5674" s="7"/>
      <c r="X5674" s="7"/>
      <c r="Y5674" s="7"/>
      <c r="Z5674" s="7"/>
    </row>
    <row r="567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7"/>
      <c r="U5675" s="7"/>
      <c r="V5675" s="7"/>
      <c r="W5675" s="7"/>
      <c r="X5675" s="7"/>
      <c r="Y5675" s="7"/>
      <c r="Z5675" s="7"/>
    </row>
    <row r="5676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7"/>
      <c r="U5676" s="7"/>
      <c r="V5676" s="7"/>
      <c r="W5676" s="7"/>
      <c r="X5676" s="7"/>
      <c r="Y5676" s="7"/>
      <c r="Z5676" s="7"/>
    </row>
    <row r="5677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7"/>
      <c r="U5677" s="7"/>
      <c r="V5677" s="7"/>
      <c r="W5677" s="7"/>
      <c r="X5677" s="7"/>
      <c r="Y5677" s="7"/>
      <c r="Z5677" s="7"/>
    </row>
    <row r="5678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7"/>
      <c r="U5678" s="7"/>
      <c r="V5678" s="7"/>
      <c r="W5678" s="7"/>
      <c r="X5678" s="7"/>
      <c r="Y5678" s="7"/>
      <c r="Z5678" s="7"/>
    </row>
    <row r="5679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7"/>
      <c r="U5679" s="7"/>
      <c r="V5679" s="7"/>
      <c r="W5679" s="7"/>
      <c r="X5679" s="7"/>
      <c r="Y5679" s="7"/>
      <c r="Z5679" s="7"/>
    </row>
    <row r="5680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7"/>
      <c r="U5680" s="7"/>
      <c r="V5680" s="7"/>
      <c r="W5680" s="7"/>
      <c r="X5680" s="7"/>
      <c r="Y5680" s="7"/>
      <c r="Z5680" s="7"/>
    </row>
    <row r="5681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7"/>
      <c r="U5681" s="7"/>
      <c r="V5681" s="7"/>
      <c r="W5681" s="7"/>
      <c r="X5681" s="7"/>
      <c r="Y5681" s="7"/>
      <c r="Z5681" s="7"/>
    </row>
    <row r="5682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7"/>
      <c r="U5682" s="7"/>
      <c r="V5682" s="7"/>
      <c r="W5682" s="7"/>
      <c r="X5682" s="7"/>
      <c r="Y5682" s="7"/>
      <c r="Z5682" s="7"/>
    </row>
    <row r="5683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7"/>
      <c r="U5683" s="7"/>
      <c r="V5683" s="7"/>
      <c r="W5683" s="7"/>
      <c r="X5683" s="7"/>
      <c r="Y5683" s="7"/>
      <c r="Z5683" s="7"/>
    </row>
    <row r="5684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7"/>
      <c r="U5684" s="7"/>
      <c r="V5684" s="7"/>
      <c r="W5684" s="7"/>
      <c r="X5684" s="7"/>
      <c r="Y5684" s="7"/>
      <c r="Z5684" s="7"/>
    </row>
    <row r="568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7"/>
      <c r="U5685" s="7"/>
      <c r="V5685" s="7"/>
      <c r="W5685" s="7"/>
      <c r="X5685" s="7"/>
      <c r="Y5685" s="7"/>
      <c r="Z5685" s="7"/>
    </row>
    <row r="5686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7"/>
      <c r="U5686" s="7"/>
      <c r="V5686" s="7"/>
      <c r="W5686" s="7"/>
      <c r="X5686" s="7"/>
      <c r="Y5686" s="7"/>
      <c r="Z5686" s="7"/>
    </row>
    <row r="5687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7"/>
      <c r="U5687" s="7"/>
      <c r="V5687" s="7"/>
      <c r="W5687" s="7"/>
      <c r="X5687" s="7"/>
      <c r="Y5687" s="7"/>
      <c r="Z5687" s="7"/>
    </row>
    <row r="5688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7"/>
      <c r="U5688" s="7"/>
      <c r="V5688" s="7"/>
      <c r="W5688" s="7"/>
      <c r="X5688" s="7"/>
      <c r="Y5688" s="7"/>
      <c r="Z5688" s="7"/>
    </row>
    <row r="5689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7"/>
      <c r="U5689" s="7"/>
      <c r="V5689" s="7"/>
      <c r="W5689" s="7"/>
      <c r="X5689" s="7"/>
      <c r="Y5689" s="7"/>
      <c r="Z5689" s="7"/>
    </row>
    <row r="5690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7"/>
      <c r="U5690" s="7"/>
      <c r="V5690" s="7"/>
      <c r="W5690" s="7"/>
      <c r="X5690" s="7"/>
      <c r="Y5690" s="7"/>
      <c r="Z5690" s="7"/>
    </row>
    <row r="5691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7"/>
      <c r="U5691" s="7"/>
      <c r="V5691" s="7"/>
      <c r="W5691" s="7"/>
      <c r="X5691" s="7"/>
      <c r="Y5691" s="7"/>
      <c r="Z5691" s="7"/>
    </row>
    <row r="5692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7"/>
      <c r="U5692" s="7"/>
      <c r="V5692" s="7"/>
      <c r="W5692" s="7"/>
      <c r="X5692" s="7"/>
      <c r="Y5692" s="7"/>
      <c r="Z5692" s="7"/>
    </row>
    <row r="5693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7"/>
      <c r="U5693" s="7"/>
      <c r="V5693" s="7"/>
      <c r="W5693" s="7"/>
      <c r="X5693" s="7"/>
      <c r="Y5693" s="7"/>
      <c r="Z5693" s="7"/>
    </row>
    <row r="5694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7"/>
      <c r="U5694" s="7"/>
      <c r="V5694" s="7"/>
      <c r="W5694" s="7"/>
      <c r="X5694" s="7"/>
      <c r="Y5694" s="7"/>
      <c r="Z5694" s="7"/>
    </row>
    <row r="569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7"/>
      <c r="U5695" s="7"/>
      <c r="V5695" s="7"/>
      <c r="W5695" s="7"/>
      <c r="X5695" s="7"/>
      <c r="Y5695" s="7"/>
      <c r="Z5695" s="7"/>
    </row>
    <row r="5696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7"/>
      <c r="U5696" s="7"/>
      <c r="V5696" s="7"/>
      <c r="W5696" s="7"/>
      <c r="X5696" s="7"/>
      <c r="Y5696" s="7"/>
      <c r="Z5696" s="7"/>
    </row>
    <row r="5697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7"/>
      <c r="U5697" s="7"/>
      <c r="V5697" s="7"/>
      <c r="W5697" s="7"/>
      <c r="X5697" s="7"/>
      <c r="Y5697" s="7"/>
      <c r="Z5697" s="7"/>
    </row>
    <row r="5698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7"/>
      <c r="U5698" s="7"/>
      <c r="V5698" s="7"/>
      <c r="W5698" s="7"/>
      <c r="X5698" s="7"/>
      <c r="Y5698" s="7"/>
      <c r="Z5698" s="7"/>
    </row>
    <row r="5699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7"/>
      <c r="U5699" s="7"/>
      <c r="V5699" s="7"/>
      <c r="W5699" s="7"/>
      <c r="X5699" s="7"/>
      <c r="Y5699" s="7"/>
      <c r="Z5699" s="7"/>
    </row>
    <row r="5700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7"/>
      <c r="U5700" s="7"/>
      <c r="V5700" s="7"/>
      <c r="W5700" s="7"/>
      <c r="X5700" s="7"/>
      <c r="Y5700" s="7"/>
      <c r="Z5700" s="7"/>
    </row>
    <row r="5701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7"/>
      <c r="U5701" s="7"/>
      <c r="V5701" s="7"/>
      <c r="W5701" s="7"/>
      <c r="X5701" s="7"/>
      <c r="Y5701" s="7"/>
      <c r="Z5701" s="7"/>
    </row>
    <row r="5702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7"/>
      <c r="U5702" s="7"/>
      <c r="V5702" s="7"/>
      <c r="W5702" s="7"/>
      <c r="X5702" s="7"/>
      <c r="Y5702" s="7"/>
      <c r="Z5702" s="7"/>
    </row>
    <row r="5703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7"/>
      <c r="U5703" s="7"/>
      <c r="V5703" s="7"/>
      <c r="W5703" s="7"/>
      <c r="X5703" s="7"/>
      <c r="Y5703" s="7"/>
      <c r="Z5703" s="7"/>
    </row>
    <row r="5704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7"/>
      <c r="U5704" s="7"/>
      <c r="V5704" s="7"/>
      <c r="W5704" s="7"/>
      <c r="X5704" s="7"/>
      <c r="Y5704" s="7"/>
      <c r="Z5704" s="7"/>
    </row>
    <row r="570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7"/>
      <c r="U5705" s="7"/>
      <c r="V5705" s="7"/>
      <c r="W5705" s="7"/>
      <c r="X5705" s="7"/>
      <c r="Y5705" s="7"/>
      <c r="Z5705" s="7"/>
    </row>
    <row r="5706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7"/>
      <c r="U5706" s="7"/>
      <c r="V5706" s="7"/>
      <c r="W5706" s="7"/>
      <c r="X5706" s="7"/>
      <c r="Y5706" s="7"/>
      <c r="Z5706" s="7"/>
    </row>
    <row r="5707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7"/>
      <c r="U5707" s="7"/>
      <c r="V5707" s="7"/>
      <c r="W5707" s="7"/>
      <c r="X5707" s="7"/>
      <c r="Y5707" s="7"/>
      <c r="Z5707" s="7"/>
    </row>
    <row r="5708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7"/>
      <c r="U5708" s="7"/>
      <c r="V5708" s="7"/>
      <c r="W5708" s="7"/>
      <c r="X5708" s="7"/>
      <c r="Y5708" s="7"/>
      <c r="Z5708" s="7"/>
    </row>
    <row r="5709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7"/>
      <c r="U5709" s="7"/>
      <c r="V5709" s="7"/>
      <c r="W5709" s="7"/>
      <c r="X5709" s="7"/>
      <c r="Y5709" s="7"/>
      <c r="Z5709" s="7"/>
    </row>
    <row r="5710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7"/>
      <c r="U5710" s="7"/>
      <c r="V5710" s="7"/>
      <c r="W5710" s="7"/>
      <c r="X5710" s="7"/>
      <c r="Y5710" s="7"/>
      <c r="Z5710" s="7"/>
    </row>
    <row r="5711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7"/>
      <c r="U5711" s="7"/>
      <c r="V5711" s="7"/>
      <c r="W5711" s="7"/>
      <c r="X5711" s="7"/>
      <c r="Y5711" s="7"/>
      <c r="Z5711" s="7"/>
    </row>
    <row r="5712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7"/>
      <c r="U5712" s="7"/>
      <c r="V5712" s="7"/>
      <c r="W5712" s="7"/>
      <c r="X5712" s="7"/>
      <c r="Y5712" s="7"/>
      <c r="Z5712" s="7"/>
    </row>
    <row r="5713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7"/>
      <c r="U5713" s="7"/>
      <c r="V5713" s="7"/>
      <c r="W5713" s="7"/>
      <c r="X5713" s="7"/>
      <c r="Y5713" s="7"/>
      <c r="Z5713" s="7"/>
    </row>
    <row r="5714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7"/>
      <c r="U5714" s="7"/>
      <c r="V5714" s="7"/>
      <c r="W5714" s="7"/>
      <c r="X5714" s="7"/>
      <c r="Y5714" s="7"/>
      <c r="Z5714" s="7"/>
    </row>
    <row r="571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7"/>
      <c r="U5715" s="7"/>
      <c r="V5715" s="7"/>
      <c r="W5715" s="7"/>
      <c r="X5715" s="7"/>
      <c r="Y5715" s="7"/>
      <c r="Z5715" s="7"/>
    </row>
    <row r="5716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7"/>
      <c r="U5716" s="7"/>
      <c r="V5716" s="7"/>
      <c r="W5716" s="7"/>
      <c r="X5716" s="7"/>
      <c r="Y5716" s="7"/>
      <c r="Z5716" s="7"/>
    </row>
    <row r="5717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7"/>
      <c r="U5717" s="7"/>
      <c r="V5717" s="7"/>
      <c r="W5717" s="7"/>
      <c r="X5717" s="7"/>
      <c r="Y5717" s="7"/>
      <c r="Z5717" s="7"/>
    </row>
    <row r="5718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7"/>
      <c r="U5718" s="7"/>
      <c r="V5718" s="7"/>
      <c r="W5718" s="7"/>
      <c r="X5718" s="7"/>
      <c r="Y5718" s="7"/>
      <c r="Z5718" s="7"/>
    </row>
    <row r="5719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7"/>
      <c r="U5719" s="7"/>
      <c r="V5719" s="7"/>
      <c r="W5719" s="7"/>
      <c r="X5719" s="7"/>
      <c r="Y5719" s="7"/>
      <c r="Z5719" s="7"/>
    </row>
    <row r="5720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7"/>
      <c r="U5720" s="7"/>
      <c r="V5720" s="7"/>
      <c r="W5720" s="7"/>
      <c r="X5720" s="7"/>
      <c r="Y5720" s="7"/>
      <c r="Z5720" s="7"/>
    </row>
    <row r="5721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7"/>
      <c r="U5721" s="7"/>
      <c r="V5721" s="7"/>
      <c r="W5721" s="7"/>
      <c r="X5721" s="7"/>
      <c r="Y5721" s="7"/>
      <c r="Z5721" s="7"/>
    </row>
    <row r="5722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7"/>
      <c r="U5722" s="7"/>
      <c r="V5722" s="7"/>
      <c r="W5722" s="7"/>
      <c r="X5722" s="7"/>
      <c r="Y5722" s="7"/>
      <c r="Z5722" s="7"/>
    </row>
    <row r="5723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7"/>
      <c r="U5723" s="7"/>
      <c r="V5723" s="7"/>
      <c r="W5723" s="7"/>
      <c r="X5723" s="7"/>
      <c r="Y5723" s="7"/>
      <c r="Z5723" s="7"/>
    </row>
    <row r="5724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7"/>
      <c r="U5724" s="7"/>
      <c r="V5724" s="7"/>
      <c r="W5724" s="7"/>
      <c r="X5724" s="7"/>
      <c r="Y5724" s="7"/>
      <c r="Z5724" s="7"/>
    </row>
    <row r="57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7"/>
      <c r="U5725" s="7"/>
      <c r="V5725" s="7"/>
      <c r="W5725" s="7"/>
      <c r="X5725" s="7"/>
      <c r="Y5725" s="7"/>
      <c r="Z5725" s="7"/>
    </row>
    <row r="5726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7"/>
      <c r="U5726" s="7"/>
      <c r="V5726" s="7"/>
      <c r="W5726" s="7"/>
      <c r="X5726" s="7"/>
      <c r="Y5726" s="7"/>
      <c r="Z5726" s="7"/>
    </row>
    <row r="5727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7"/>
      <c r="U5727" s="7"/>
      <c r="V5727" s="7"/>
      <c r="W5727" s="7"/>
      <c r="X5727" s="7"/>
      <c r="Y5727" s="7"/>
      <c r="Z5727" s="7"/>
    </row>
    <row r="5728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7"/>
      <c r="U5728" s="7"/>
      <c r="V5728" s="7"/>
      <c r="W5728" s="7"/>
      <c r="X5728" s="7"/>
      <c r="Y5728" s="7"/>
      <c r="Z5728" s="7"/>
    </row>
    <row r="5729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7"/>
      <c r="U5729" s="7"/>
      <c r="V5729" s="7"/>
      <c r="W5729" s="7"/>
      <c r="X5729" s="7"/>
      <c r="Y5729" s="7"/>
      <c r="Z5729" s="7"/>
    </row>
    <row r="5730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7"/>
      <c r="U5730" s="7"/>
      <c r="V5730" s="7"/>
      <c r="W5730" s="7"/>
      <c r="X5730" s="7"/>
      <c r="Y5730" s="7"/>
      <c r="Z5730" s="7"/>
    </row>
    <row r="5731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7"/>
      <c r="U5731" s="7"/>
      <c r="V5731" s="7"/>
      <c r="W5731" s="7"/>
      <c r="X5731" s="7"/>
      <c r="Y5731" s="7"/>
      <c r="Z5731" s="7"/>
    </row>
    <row r="5732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7"/>
      <c r="U5732" s="7"/>
      <c r="V5732" s="7"/>
      <c r="W5732" s="7"/>
      <c r="X5732" s="7"/>
      <c r="Y5732" s="7"/>
      <c r="Z5732" s="7"/>
    </row>
    <row r="5733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7"/>
      <c r="U5733" s="7"/>
      <c r="V5733" s="7"/>
      <c r="W5733" s="7"/>
      <c r="X5733" s="7"/>
      <c r="Y5733" s="7"/>
      <c r="Z5733" s="7"/>
    </row>
    <row r="5734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7"/>
      <c r="U5734" s="7"/>
      <c r="V5734" s="7"/>
      <c r="W5734" s="7"/>
      <c r="X5734" s="7"/>
      <c r="Y5734" s="7"/>
      <c r="Z5734" s="7"/>
    </row>
    <row r="573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7"/>
      <c r="U5735" s="7"/>
      <c r="V5735" s="7"/>
      <c r="W5735" s="7"/>
      <c r="X5735" s="7"/>
      <c r="Y5735" s="7"/>
      <c r="Z5735" s="7"/>
    </row>
    <row r="5736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7"/>
      <c r="U5736" s="7"/>
      <c r="V5736" s="7"/>
      <c r="W5736" s="7"/>
      <c r="X5736" s="7"/>
      <c r="Y5736" s="7"/>
      <c r="Z5736" s="7"/>
    </row>
    <row r="5737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7"/>
      <c r="U5737" s="7"/>
      <c r="V5737" s="7"/>
      <c r="W5737" s="7"/>
      <c r="X5737" s="7"/>
      <c r="Y5737" s="7"/>
      <c r="Z5737" s="7"/>
    </row>
    <row r="5738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7"/>
      <c r="U5738" s="7"/>
      <c r="V5738" s="7"/>
      <c r="W5738" s="7"/>
      <c r="X5738" s="7"/>
      <c r="Y5738" s="7"/>
      <c r="Z5738" s="7"/>
    </row>
    <row r="5739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7"/>
      <c r="U5739" s="7"/>
      <c r="V5739" s="7"/>
      <c r="W5739" s="7"/>
      <c r="X5739" s="7"/>
      <c r="Y5739" s="7"/>
      <c r="Z5739" s="7"/>
    </row>
    <row r="5740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7"/>
      <c r="U5740" s="7"/>
      <c r="V5740" s="7"/>
      <c r="W5740" s="7"/>
      <c r="X5740" s="7"/>
      <c r="Y5740" s="7"/>
      <c r="Z5740" s="7"/>
    </row>
    <row r="5741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7"/>
      <c r="U5741" s="7"/>
      <c r="V5741" s="7"/>
      <c r="W5741" s="7"/>
      <c r="X5741" s="7"/>
      <c r="Y5741" s="7"/>
      <c r="Z5741" s="7"/>
    </row>
    <row r="5742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7"/>
      <c r="U5742" s="7"/>
      <c r="V5742" s="7"/>
      <c r="W5742" s="7"/>
      <c r="X5742" s="7"/>
      <c r="Y5742" s="7"/>
      <c r="Z5742" s="7"/>
    </row>
    <row r="5743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7"/>
      <c r="U5743" s="7"/>
      <c r="V5743" s="7"/>
      <c r="W5743" s="7"/>
      <c r="X5743" s="7"/>
      <c r="Y5743" s="7"/>
      <c r="Z5743" s="7"/>
    </row>
    <row r="5744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7"/>
      <c r="U5744" s="7"/>
      <c r="V5744" s="7"/>
      <c r="W5744" s="7"/>
      <c r="X5744" s="7"/>
      <c r="Y5744" s="7"/>
      <c r="Z5744" s="7"/>
    </row>
    <row r="574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7"/>
      <c r="U5745" s="7"/>
      <c r="V5745" s="7"/>
      <c r="W5745" s="7"/>
      <c r="X5745" s="7"/>
      <c r="Y5745" s="7"/>
      <c r="Z5745" s="7"/>
    </row>
    <row r="5746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7"/>
      <c r="U5746" s="7"/>
      <c r="V5746" s="7"/>
      <c r="W5746" s="7"/>
      <c r="X5746" s="7"/>
      <c r="Y5746" s="7"/>
      <c r="Z5746" s="7"/>
    </row>
    <row r="5747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7"/>
      <c r="U5747" s="7"/>
      <c r="V5747" s="7"/>
      <c r="W5747" s="7"/>
      <c r="X5747" s="7"/>
      <c r="Y5747" s="7"/>
      <c r="Z5747" s="7"/>
    </row>
    <row r="5748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7"/>
      <c r="U5748" s="7"/>
      <c r="V5748" s="7"/>
      <c r="W5748" s="7"/>
      <c r="X5748" s="7"/>
      <c r="Y5748" s="7"/>
      <c r="Z5748" s="7"/>
    </row>
    <row r="5749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7"/>
      <c r="U5749" s="7"/>
      <c r="V5749" s="7"/>
      <c r="W5749" s="7"/>
      <c r="X5749" s="7"/>
      <c r="Y5749" s="7"/>
      <c r="Z5749" s="7"/>
    </row>
    <row r="5750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7"/>
      <c r="U5750" s="7"/>
      <c r="V5750" s="7"/>
      <c r="W5750" s="7"/>
      <c r="X5750" s="7"/>
      <c r="Y5750" s="7"/>
      <c r="Z5750" s="7"/>
    </row>
    <row r="5751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7"/>
      <c r="U5751" s="7"/>
      <c r="V5751" s="7"/>
      <c r="W5751" s="7"/>
      <c r="X5751" s="7"/>
      <c r="Y5751" s="7"/>
      <c r="Z5751" s="7"/>
    </row>
    <row r="5752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7"/>
      <c r="U5752" s="7"/>
      <c r="V5752" s="7"/>
      <c r="W5752" s="7"/>
      <c r="X5752" s="7"/>
      <c r="Y5752" s="7"/>
      <c r="Z5752" s="7"/>
    </row>
    <row r="5753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7"/>
      <c r="U5753" s="7"/>
      <c r="V5753" s="7"/>
      <c r="W5753" s="7"/>
      <c r="X5753" s="7"/>
      <c r="Y5753" s="7"/>
      <c r="Z5753" s="7"/>
    </row>
    <row r="5754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7"/>
      <c r="U5754" s="7"/>
      <c r="V5754" s="7"/>
      <c r="W5754" s="7"/>
      <c r="X5754" s="7"/>
      <c r="Y5754" s="7"/>
      <c r="Z5754" s="7"/>
    </row>
    <row r="575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7"/>
      <c r="U5755" s="7"/>
      <c r="V5755" s="7"/>
      <c r="W5755" s="7"/>
      <c r="X5755" s="7"/>
      <c r="Y5755" s="7"/>
      <c r="Z5755" s="7"/>
    </row>
    <row r="5756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7"/>
      <c r="U5756" s="7"/>
      <c r="V5756" s="7"/>
      <c r="W5756" s="7"/>
      <c r="X5756" s="7"/>
      <c r="Y5756" s="7"/>
      <c r="Z5756" s="7"/>
    </row>
    <row r="5757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7"/>
      <c r="U5757" s="7"/>
      <c r="V5757" s="7"/>
      <c r="W5757" s="7"/>
      <c r="X5757" s="7"/>
      <c r="Y5757" s="7"/>
      <c r="Z5757" s="7"/>
    </row>
    <row r="5758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7"/>
      <c r="U5758" s="7"/>
      <c r="V5758" s="7"/>
      <c r="W5758" s="7"/>
      <c r="X5758" s="7"/>
      <c r="Y5758" s="7"/>
      <c r="Z5758" s="7"/>
    </row>
    <row r="5759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7"/>
      <c r="U5759" s="7"/>
      <c r="V5759" s="7"/>
      <c r="W5759" s="7"/>
      <c r="X5759" s="7"/>
      <c r="Y5759" s="7"/>
      <c r="Z5759" s="7"/>
    </row>
    <row r="5760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7"/>
      <c r="U5760" s="7"/>
      <c r="V5760" s="7"/>
      <c r="W5760" s="7"/>
      <c r="X5760" s="7"/>
      <c r="Y5760" s="7"/>
      <c r="Z5760" s="7"/>
    </row>
    <row r="5761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7"/>
      <c r="U5761" s="7"/>
      <c r="V5761" s="7"/>
      <c r="W5761" s="7"/>
      <c r="X5761" s="7"/>
      <c r="Y5761" s="7"/>
      <c r="Z5761" s="7"/>
    </row>
    <row r="5762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7"/>
      <c r="U5762" s="7"/>
      <c r="V5762" s="7"/>
      <c r="W5762" s="7"/>
      <c r="X5762" s="7"/>
      <c r="Y5762" s="7"/>
      <c r="Z5762" s="7"/>
    </row>
    <row r="5763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7"/>
      <c r="U5763" s="7"/>
      <c r="V5763" s="7"/>
      <c r="W5763" s="7"/>
      <c r="X5763" s="7"/>
      <c r="Y5763" s="7"/>
      <c r="Z5763" s="7"/>
    </row>
    <row r="5764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7"/>
      <c r="U5764" s="7"/>
      <c r="V5764" s="7"/>
      <c r="W5764" s="7"/>
      <c r="X5764" s="7"/>
      <c r="Y5764" s="7"/>
      <c r="Z5764" s="7"/>
    </row>
    <row r="576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7"/>
      <c r="U5765" s="7"/>
      <c r="V5765" s="7"/>
      <c r="W5765" s="7"/>
      <c r="X5765" s="7"/>
      <c r="Y5765" s="7"/>
      <c r="Z5765" s="7"/>
    </row>
    <row r="5766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7"/>
      <c r="U5766" s="7"/>
      <c r="V5766" s="7"/>
      <c r="W5766" s="7"/>
      <c r="X5766" s="7"/>
      <c r="Y5766" s="7"/>
      <c r="Z5766" s="7"/>
    </row>
    <row r="5767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7"/>
      <c r="U5767" s="7"/>
      <c r="V5767" s="7"/>
      <c r="W5767" s="7"/>
      <c r="X5767" s="7"/>
      <c r="Y5767" s="7"/>
      <c r="Z5767" s="7"/>
    </row>
    <row r="5768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7"/>
      <c r="U5768" s="7"/>
      <c r="V5768" s="7"/>
      <c r="W5768" s="7"/>
      <c r="X5768" s="7"/>
      <c r="Y5768" s="7"/>
      <c r="Z5768" s="7"/>
    </row>
    <row r="5769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7"/>
      <c r="U5769" s="7"/>
      <c r="V5769" s="7"/>
      <c r="W5769" s="7"/>
      <c r="X5769" s="7"/>
      <c r="Y5769" s="7"/>
      <c r="Z5769" s="7"/>
    </row>
    <row r="5770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7"/>
      <c r="U5770" s="7"/>
      <c r="V5770" s="7"/>
      <c r="W5770" s="7"/>
      <c r="X5770" s="7"/>
      <c r="Y5770" s="7"/>
      <c r="Z5770" s="7"/>
    </row>
    <row r="5771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7"/>
      <c r="U5771" s="7"/>
      <c r="V5771" s="7"/>
      <c r="W5771" s="7"/>
      <c r="X5771" s="7"/>
      <c r="Y5771" s="7"/>
      <c r="Z5771" s="7"/>
    </row>
    <row r="5772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7"/>
      <c r="U5772" s="7"/>
      <c r="V5772" s="7"/>
      <c r="W5772" s="7"/>
      <c r="X5772" s="7"/>
      <c r="Y5772" s="7"/>
      <c r="Z5772" s="7"/>
    </row>
    <row r="5773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7"/>
      <c r="U5773" s="7"/>
      <c r="V5773" s="7"/>
      <c r="W5773" s="7"/>
      <c r="X5773" s="7"/>
      <c r="Y5773" s="7"/>
      <c r="Z5773" s="7"/>
    </row>
    <row r="5774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7"/>
      <c r="U5774" s="7"/>
      <c r="V5774" s="7"/>
      <c r="W5774" s="7"/>
      <c r="X5774" s="7"/>
      <c r="Y5774" s="7"/>
      <c r="Z5774" s="7"/>
    </row>
    <row r="577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7"/>
      <c r="U5775" s="7"/>
      <c r="V5775" s="7"/>
      <c r="W5775" s="7"/>
      <c r="X5775" s="7"/>
      <c r="Y5775" s="7"/>
      <c r="Z5775" s="7"/>
    </row>
    <row r="5776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7"/>
      <c r="U5776" s="7"/>
      <c r="V5776" s="7"/>
      <c r="W5776" s="7"/>
      <c r="X5776" s="7"/>
      <c r="Y5776" s="7"/>
      <c r="Z5776" s="7"/>
    </row>
    <row r="5777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7"/>
      <c r="U5777" s="7"/>
      <c r="V5777" s="7"/>
      <c r="W5777" s="7"/>
      <c r="X5777" s="7"/>
      <c r="Y5777" s="7"/>
      <c r="Z5777" s="7"/>
    </row>
    <row r="5778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7"/>
      <c r="U5778" s="7"/>
      <c r="V5778" s="7"/>
      <c r="W5778" s="7"/>
      <c r="X5778" s="7"/>
      <c r="Y5778" s="7"/>
      <c r="Z5778" s="7"/>
    </row>
    <row r="5779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7"/>
      <c r="U5779" s="7"/>
      <c r="V5779" s="7"/>
      <c r="W5779" s="7"/>
      <c r="X5779" s="7"/>
      <c r="Y5779" s="7"/>
      <c r="Z5779" s="7"/>
    </row>
    <row r="5780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7"/>
      <c r="U5780" s="7"/>
      <c r="V5780" s="7"/>
      <c r="W5780" s="7"/>
      <c r="X5780" s="7"/>
      <c r="Y5780" s="7"/>
      <c r="Z5780" s="7"/>
    </row>
    <row r="5781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7"/>
      <c r="U5781" s="7"/>
      <c r="V5781" s="7"/>
      <c r="W5781" s="7"/>
      <c r="X5781" s="7"/>
      <c r="Y5781" s="7"/>
      <c r="Z5781" s="7"/>
    </row>
    <row r="5782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7"/>
      <c r="U5782" s="7"/>
      <c r="V5782" s="7"/>
      <c r="W5782" s="7"/>
      <c r="X5782" s="7"/>
      <c r="Y5782" s="7"/>
      <c r="Z5782" s="7"/>
    </row>
    <row r="5783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7"/>
      <c r="U5783" s="7"/>
      <c r="V5783" s="7"/>
      <c r="W5783" s="7"/>
      <c r="X5783" s="7"/>
      <c r="Y5783" s="7"/>
      <c r="Z5783" s="7"/>
    </row>
    <row r="5784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7"/>
      <c r="U5784" s="7"/>
      <c r="V5784" s="7"/>
      <c r="W5784" s="7"/>
      <c r="X5784" s="7"/>
      <c r="Y5784" s="7"/>
      <c r="Z5784" s="7"/>
    </row>
    <row r="578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7"/>
      <c r="U5785" s="7"/>
      <c r="V5785" s="7"/>
      <c r="W5785" s="7"/>
      <c r="X5785" s="7"/>
      <c r="Y5785" s="7"/>
      <c r="Z5785" s="7"/>
    </row>
    <row r="5786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7"/>
      <c r="U5786" s="7"/>
      <c r="V5786" s="7"/>
      <c r="W5786" s="7"/>
      <c r="X5786" s="7"/>
      <c r="Y5786" s="7"/>
      <c r="Z5786" s="7"/>
    </row>
    <row r="5787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7"/>
      <c r="U5787" s="7"/>
      <c r="V5787" s="7"/>
      <c r="W5787" s="7"/>
      <c r="X5787" s="7"/>
      <c r="Y5787" s="7"/>
      <c r="Z5787" s="7"/>
    </row>
    <row r="5788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7"/>
      <c r="U5788" s="7"/>
      <c r="V5788" s="7"/>
      <c r="W5788" s="7"/>
      <c r="X5788" s="7"/>
      <c r="Y5788" s="7"/>
      <c r="Z5788" s="7"/>
    </row>
    <row r="5789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7"/>
      <c r="U5789" s="7"/>
      <c r="V5789" s="7"/>
      <c r="W5789" s="7"/>
      <c r="X5789" s="7"/>
      <c r="Y5789" s="7"/>
      <c r="Z5789" s="7"/>
    </row>
    <row r="5790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7"/>
      <c r="U5790" s="7"/>
      <c r="V5790" s="7"/>
      <c r="W5790" s="7"/>
      <c r="X5790" s="7"/>
      <c r="Y5790" s="7"/>
      <c r="Z5790" s="7"/>
    </row>
    <row r="5791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7"/>
      <c r="U5791" s="7"/>
      <c r="V5791" s="7"/>
      <c r="W5791" s="7"/>
      <c r="X5791" s="7"/>
      <c r="Y5791" s="7"/>
      <c r="Z5791" s="7"/>
    </row>
    <row r="5792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7"/>
      <c r="U5792" s="7"/>
      <c r="V5792" s="7"/>
      <c r="W5792" s="7"/>
      <c r="X5792" s="7"/>
      <c r="Y5792" s="7"/>
      <c r="Z5792" s="7"/>
    </row>
    <row r="5793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7"/>
      <c r="U5793" s="7"/>
      <c r="V5793" s="7"/>
      <c r="W5793" s="7"/>
      <c r="X5793" s="7"/>
      <c r="Y5793" s="7"/>
      <c r="Z5793" s="7"/>
    </row>
    <row r="5794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7"/>
      <c r="U5794" s="7"/>
      <c r="V5794" s="7"/>
      <c r="W5794" s="7"/>
      <c r="X5794" s="7"/>
      <c r="Y5794" s="7"/>
      <c r="Z5794" s="7"/>
    </row>
    <row r="579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7"/>
      <c r="U5795" s="7"/>
      <c r="V5795" s="7"/>
      <c r="W5795" s="7"/>
      <c r="X5795" s="7"/>
      <c r="Y5795" s="7"/>
      <c r="Z5795" s="7"/>
    </row>
    <row r="5796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7"/>
      <c r="U5796" s="7"/>
      <c r="V5796" s="7"/>
      <c r="W5796" s="7"/>
      <c r="X5796" s="7"/>
      <c r="Y5796" s="7"/>
      <c r="Z5796" s="7"/>
    </row>
    <row r="5797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7"/>
      <c r="U5797" s="7"/>
      <c r="V5797" s="7"/>
      <c r="W5797" s="7"/>
      <c r="X5797" s="7"/>
      <c r="Y5797" s="7"/>
      <c r="Z5797" s="7"/>
    </row>
    <row r="5798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7"/>
      <c r="U5798" s="7"/>
      <c r="V5798" s="7"/>
      <c r="W5798" s="7"/>
      <c r="X5798" s="7"/>
      <c r="Y5798" s="7"/>
      <c r="Z5798" s="7"/>
    </row>
    <row r="5799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7"/>
      <c r="U5799" s="7"/>
      <c r="V5799" s="7"/>
      <c r="W5799" s="7"/>
      <c r="X5799" s="7"/>
      <c r="Y5799" s="7"/>
      <c r="Z5799" s="7"/>
    </row>
    <row r="5800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7"/>
      <c r="U5800" s="7"/>
      <c r="V5800" s="7"/>
      <c r="W5800" s="7"/>
      <c r="X5800" s="7"/>
      <c r="Y5800" s="7"/>
      <c r="Z5800" s="7"/>
    </row>
    <row r="5801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7"/>
      <c r="U5801" s="7"/>
      <c r="V5801" s="7"/>
      <c r="W5801" s="7"/>
      <c r="X5801" s="7"/>
      <c r="Y5801" s="7"/>
      <c r="Z5801" s="7"/>
    </row>
    <row r="5802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7"/>
      <c r="U5802" s="7"/>
      <c r="V5802" s="7"/>
      <c r="W5802" s="7"/>
      <c r="X5802" s="7"/>
      <c r="Y5802" s="7"/>
      <c r="Z5802" s="7"/>
    </row>
    <row r="5803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7"/>
      <c r="U5803" s="7"/>
      <c r="V5803" s="7"/>
      <c r="W5803" s="7"/>
      <c r="X5803" s="7"/>
      <c r="Y5803" s="7"/>
      <c r="Z5803" s="7"/>
    </row>
    <row r="5804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7"/>
      <c r="U5804" s="7"/>
      <c r="V5804" s="7"/>
      <c r="W5804" s="7"/>
      <c r="X5804" s="7"/>
      <c r="Y5804" s="7"/>
      <c r="Z5804" s="7"/>
    </row>
    <row r="580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7"/>
      <c r="U5805" s="7"/>
      <c r="V5805" s="7"/>
      <c r="W5805" s="7"/>
      <c r="X5805" s="7"/>
      <c r="Y5805" s="7"/>
      <c r="Z5805" s="7"/>
    </row>
    <row r="5806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7"/>
      <c r="U5806" s="7"/>
      <c r="V5806" s="7"/>
      <c r="W5806" s="7"/>
      <c r="X5806" s="7"/>
      <c r="Y5806" s="7"/>
      <c r="Z5806" s="7"/>
    </row>
    <row r="5807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7"/>
      <c r="U5807" s="7"/>
      <c r="V5807" s="7"/>
      <c r="W5807" s="7"/>
      <c r="X5807" s="7"/>
      <c r="Y5807" s="7"/>
      <c r="Z5807" s="7"/>
    </row>
    <row r="5808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7"/>
      <c r="U5808" s="7"/>
      <c r="V5808" s="7"/>
      <c r="W5808" s="7"/>
      <c r="X5808" s="7"/>
      <c r="Y5808" s="7"/>
      <c r="Z5808" s="7"/>
    </row>
    <row r="5809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7"/>
      <c r="U5809" s="7"/>
      <c r="V5809" s="7"/>
      <c r="W5809" s="7"/>
      <c r="X5809" s="7"/>
      <c r="Y5809" s="7"/>
      <c r="Z5809" s="7"/>
    </row>
    <row r="5810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7"/>
      <c r="U5810" s="7"/>
      <c r="V5810" s="7"/>
      <c r="W5810" s="7"/>
      <c r="X5810" s="7"/>
      <c r="Y5810" s="7"/>
      <c r="Z5810" s="7"/>
    </row>
    <row r="5811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7"/>
      <c r="U5811" s="7"/>
      <c r="V5811" s="7"/>
      <c r="W5811" s="7"/>
      <c r="X5811" s="7"/>
      <c r="Y5811" s="7"/>
      <c r="Z5811" s="7"/>
    </row>
    <row r="5812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7"/>
      <c r="U5812" s="7"/>
      <c r="V5812" s="7"/>
      <c r="W5812" s="7"/>
      <c r="X5812" s="7"/>
      <c r="Y5812" s="7"/>
      <c r="Z5812" s="7"/>
    </row>
    <row r="5813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7"/>
      <c r="U5813" s="7"/>
      <c r="V5813" s="7"/>
      <c r="W5813" s="7"/>
      <c r="X5813" s="7"/>
      <c r="Y5813" s="7"/>
      <c r="Z5813" s="7"/>
    </row>
    <row r="5814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7"/>
      <c r="U5814" s="7"/>
      <c r="V5814" s="7"/>
      <c r="W5814" s="7"/>
      <c r="X5814" s="7"/>
      <c r="Y5814" s="7"/>
      <c r="Z5814" s="7"/>
    </row>
    <row r="581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7"/>
      <c r="U5815" s="7"/>
      <c r="V5815" s="7"/>
      <c r="W5815" s="7"/>
      <c r="X5815" s="7"/>
      <c r="Y5815" s="7"/>
      <c r="Z5815" s="7"/>
    </row>
    <row r="5816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7"/>
      <c r="U5816" s="7"/>
      <c r="V5816" s="7"/>
      <c r="W5816" s="7"/>
      <c r="X5816" s="7"/>
      <c r="Y5816" s="7"/>
      <c r="Z5816" s="7"/>
    </row>
    <row r="5817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7"/>
      <c r="U5817" s="7"/>
      <c r="V5817" s="7"/>
      <c r="W5817" s="7"/>
      <c r="X5817" s="7"/>
      <c r="Y5817" s="7"/>
      <c r="Z5817" s="7"/>
    </row>
    <row r="5818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7"/>
      <c r="U5818" s="7"/>
      <c r="V5818" s="7"/>
      <c r="W5818" s="7"/>
      <c r="X5818" s="7"/>
      <c r="Y5818" s="7"/>
      <c r="Z5818" s="7"/>
    </row>
    <row r="5819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7"/>
      <c r="U5819" s="7"/>
      <c r="V5819" s="7"/>
      <c r="W5819" s="7"/>
      <c r="X5819" s="7"/>
      <c r="Y5819" s="7"/>
      <c r="Z5819" s="7"/>
    </row>
    <row r="5820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7"/>
      <c r="U5820" s="7"/>
      <c r="V5820" s="7"/>
      <c r="W5820" s="7"/>
      <c r="X5820" s="7"/>
      <c r="Y5820" s="7"/>
      <c r="Z5820" s="7"/>
    </row>
    <row r="5821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7"/>
      <c r="U5821" s="7"/>
      <c r="V5821" s="7"/>
      <c r="W5821" s="7"/>
      <c r="X5821" s="7"/>
      <c r="Y5821" s="7"/>
      <c r="Z5821" s="7"/>
    </row>
    <row r="5822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7"/>
      <c r="U5822" s="7"/>
      <c r="V5822" s="7"/>
      <c r="W5822" s="7"/>
      <c r="X5822" s="7"/>
      <c r="Y5822" s="7"/>
      <c r="Z5822" s="7"/>
    </row>
    <row r="5823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7"/>
      <c r="U5823" s="7"/>
      <c r="V5823" s="7"/>
      <c r="W5823" s="7"/>
      <c r="X5823" s="7"/>
      <c r="Y5823" s="7"/>
      <c r="Z5823" s="7"/>
    </row>
    <row r="5824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7"/>
      <c r="U5824" s="7"/>
      <c r="V5824" s="7"/>
      <c r="W5824" s="7"/>
      <c r="X5824" s="7"/>
      <c r="Y5824" s="7"/>
      <c r="Z5824" s="7"/>
    </row>
    <row r="58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7"/>
      <c r="U5825" s="7"/>
      <c r="V5825" s="7"/>
      <c r="W5825" s="7"/>
      <c r="X5825" s="7"/>
      <c r="Y5825" s="7"/>
      <c r="Z5825" s="7"/>
    </row>
    <row r="5826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7"/>
      <c r="U5826" s="7"/>
      <c r="V5826" s="7"/>
      <c r="W5826" s="7"/>
      <c r="X5826" s="7"/>
      <c r="Y5826" s="7"/>
      <c r="Z5826" s="7"/>
    </row>
    <row r="5827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7"/>
      <c r="U5827" s="7"/>
      <c r="V5827" s="7"/>
      <c r="W5827" s="7"/>
      <c r="X5827" s="7"/>
      <c r="Y5827" s="7"/>
      <c r="Z5827" s="7"/>
    </row>
    <row r="5828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7"/>
      <c r="U5828" s="7"/>
      <c r="V5828" s="7"/>
      <c r="W5828" s="7"/>
      <c r="X5828" s="7"/>
      <c r="Y5828" s="7"/>
      <c r="Z5828" s="7"/>
    </row>
    <row r="5829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7"/>
      <c r="U5829" s="7"/>
      <c r="V5829" s="7"/>
      <c r="W5829" s="7"/>
      <c r="X5829" s="7"/>
      <c r="Y5829" s="7"/>
      <c r="Z5829" s="7"/>
    </row>
    <row r="5830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7"/>
      <c r="U5830" s="7"/>
      <c r="V5830" s="7"/>
      <c r="W5830" s="7"/>
      <c r="X5830" s="7"/>
      <c r="Y5830" s="7"/>
      <c r="Z5830" s="7"/>
    </row>
    <row r="5831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7"/>
      <c r="U5831" s="7"/>
      <c r="V5831" s="7"/>
      <c r="W5831" s="7"/>
      <c r="X5831" s="7"/>
      <c r="Y5831" s="7"/>
      <c r="Z5831" s="7"/>
    </row>
    <row r="5832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7"/>
      <c r="U5832" s="7"/>
      <c r="V5832" s="7"/>
      <c r="W5832" s="7"/>
      <c r="X5832" s="7"/>
      <c r="Y5832" s="7"/>
      <c r="Z5832" s="7"/>
    </row>
    <row r="5833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7"/>
      <c r="U5833" s="7"/>
      <c r="V5833" s="7"/>
      <c r="W5833" s="7"/>
      <c r="X5833" s="7"/>
      <c r="Y5833" s="7"/>
      <c r="Z5833" s="7"/>
    </row>
    <row r="5834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7"/>
      <c r="U5834" s="7"/>
      <c r="V5834" s="7"/>
      <c r="W5834" s="7"/>
      <c r="X5834" s="7"/>
      <c r="Y5834" s="7"/>
      <c r="Z5834" s="7"/>
    </row>
    <row r="583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7"/>
      <c r="U5835" s="7"/>
      <c r="V5835" s="7"/>
      <c r="W5835" s="7"/>
      <c r="X5835" s="7"/>
      <c r="Y5835" s="7"/>
      <c r="Z5835" s="7"/>
    </row>
    <row r="5836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7"/>
      <c r="U5836" s="7"/>
      <c r="V5836" s="7"/>
      <c r="W5836" s="7"/>
      <c r="X5836" s="7"/>
      <c r="Y5836" s="7"/>
      <c r="Z5836" s="7"/>
    </row>
    <row r="5837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7"/>
      <c r="U5837" s="7"/>
      <c r="V5837" s="7"/>
      <c r="W5837" s="7"/>
      <c r="X5837" s="7"/>
      <c r="Y5837" s="7"/>
      <c r="Z5837" s="7"/>
    </row>
    <row r="5838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7"/>
      <c r="U5838" s="7"/>
      <c r="V5838" s="7"/>
      <c r="W5838" s="7"/>
      <c r="X5838" s="7"/>
      <c r="Y5838" s="7"/>
      <c r="Z5838" s="7"/>
    </row>
    <row r="5839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7"/>
      <c r="U5839" s="7"/>
      <c r="V5839" s="7"/>
      <c r="W5839" s="7"/>
      <c r="X5839" s="7"/>
      <c r="Y5839" s="7"/>
      <c r="Z5839" s="7"/>
    </row>
    <row r="5840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7"/>
      <c r="U5840" s="7"/>
      <c r="V5840" s="7"/>
      <c r="W5840" s="7"/>
      <c r="X5840" s="7"/>
      <c r="Y5840" s="7"/>
      <c r="Z5840" s="7"/>
    </row>
    <row r="5841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7"/>
      <c r="U5841" s="7"/>
      <c r="V5841" s="7"/>
      <c r="W5841" s="7"/>
      <c r="X5841" s="7"/>
      <c r="Y5841" s="7"/>
      <c r="Z5841" s="7"/>
    </row>
    <row r="5842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7"/>
      <c r="U5842" s="7"/>
      <c r="V5842" s="7"/>
      <c r="W5842" s="7"/>
      <c r="X5842" s="7"/>
      <c r="Y5842" s="7"/>
      <c r="Z5842" s="7"/>
    </row>
    <row r="5843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7"/>
      <c r="U5843" s="7"/>
      <c r="V5843" s="7"/>
      <c r="W5843" s="7"/>
      <c r="X5843" s="7"/>
      <c r="Y5843" s="7"/>
      <c r="Z5843" s="7"/>
    </row>
    <row r="5844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7"/>
      <c r="U5844" s="7"/>
      <c r="V5844" s="7"/>
      <c r="W5844" s="7"/>
      <c r="X5844" s="7"/>
      <c r="Y5844" s="7"/>
      <c r="Z5844" s="7"/>
    </row>
    <row r="584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7"/>
      <c r="U5845" s="7"/>
      <c r="V5845" s="7"/>
      <c r="W5845" s="7"/>
      <c r="X5845" s="7"/>
      <c r="Y5845" s="7"/>
      <c r="Z5845" s="7"/>
    </row>
    <row r="5846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7"/>
      <c r="U5846" s="7"/>
      <c r="V5846" s="7"/>
      <c r="W5846" s="7"/>
      <c r="X5846" s="7"/>
      <c r="Y5846" s="7"/>
      <c r="Z5846" s="7"/>
    </row>
    <row r="5847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7"/>
      <c r="U5847" s="7"/>
      <c r="V5847" s="7"/>
      <c r="W5847" s="7"/>
      <c r="X5847" s="7"/>
      <c r="Y5847" s="7"/>
      <c r="Z5847" s="7"/>
    </row>
    <row r="5848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7"/>
      <c r="U5848" s="7"/>
      <c r="V5848" s="7"/>
      <c r="W5848" s="7"/>
      <c r="X5848" s="7"/>
      <c r="Y5848" s="7"/>
      <c r="Z5848" s="7"/>
    </row>
    <row r="5849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7"/>
      <c r="U5849" s="7"/>
      <c r="V5849" s="7"/>
      <c r="W5849" s="7"/>
      <c r="X5849" s="7"/>
      <c r="Y5849" s="7"/>
      <c r="Z5849" s="7"/>
    </row>
    <row r="5850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7"/>
      <c r="U5850" s="7"/>
      <c r="V5850" s="7"/>
      <c r="W5850" s="7"/>
      <c r="X5850" s="7"/>
      <c r="Y5850" s="7"/>
      <c r="Z5850" s="7"/>
    </row>
    <row r="5851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7"/>
      <c r="U5851" s="7"/>
      <c r="V5851" s="7"/>
      <c r="W5851" s="7"/>
      <c r="X5851" s="7"/>
      <c r="Y5851" s="7"/>
      <c r="Z5851" s="7"/>
    </row>
    <row r="5852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7"/>
      <c r="U5852" s="7"/>
      <c r="V5852" s="7"/>
      <c r="W5852" s="7"/>
      <c r="X5852" s="7"/>
      <c r="Y5852" s="7"/>
      <c r="Z5852" s="7"/>
    </row>
    <row r="5853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7"/>
      <c r="U5853" s="7"/>
      <c r="V5853" s="7"/>
      <c r="W5853" s="7"/>
      <c r="X5853" s="7"/>
      <c r="Y5853" s="7"/>
      <c r="Z5853" s="7"/>
    </row>
    <row r="5854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7"/>
      <c r="U5854" s="7"/>
      <c r="V5854" s="7"/>
      <c r="W5854" s="7"/>
      <c r="X5854" s="7"/>
      <c r="Y5854" s="7"/>
      <c r="Z5854" s="7"/>
    </row>
    <row r="585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7"/>
      <c r="U5855" s="7"/>
      <c r="V5855" s="7"/>
      <c r="W5855" s="7"/>
      <c r="X5855" s="7"/>
      <c r="Y5855" s="7"/>
      <c r="Z5855" s="7"/>
    </row>
    <row r="5856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7"/>
      <c r="U5856" s="7"/>
      <c r="V5856" s="7"/>
      <c r="W5856" s="7"/>
      <c r="X5856" s="7"/>
      <c r="Y5856" s="7"/>
      <c r="Z5856" s="7"/>
    </row>
    <row r="5857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7"/>
      <c r="U5857" s="7"/>
      <c r="V5857" s="7"/>
      <c r="W5857" s="7"/>
      <c r="X5857" s="7"/>
      <c r="Y5857" s="7"/>
      <c r="Z5857" s="7"/>
    </row>
    <row r="5858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7"/>
      <c r="U5858" s="7"/>
      <c r="V5858" s="7"/>
      <c r="W5858" s="7"/>
      <c r="X5858" s="7"/>
      <c r="Y5858" s="7"/>
      <c r="Z5858" s="7"/>
    </row>
    <row r="5859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7"/>
      <c r="U5859" s="7"/>
      <c r="V5859" s="7"/>
      <c r="W5859" s="7"/>
      <c r="X5859" s="7"/>
      <c r="Y5859" s="7"/>
      <c r="Z5859" s="7"/>
    </row>
    <row r="5860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7"/>
      <c r="U5860" s="7"/>
      <c r="V5860" s="7"/>
      <c r="W5860" s="7"/>
      <c r="X5860" s="7"/>
      <c r="Y5860" s="7"/>
      <c r="Z5860" s="7"/>
    </row>
    <row r="5861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7"/>
      <c r="U5861" s="7"/>
      <c r="V5861" s="7"/>
      <c r="W5861" s="7"/>
      <c r="X5861" s="7"/>
      <c r="Y5861" s="7"/>
      <c r="Z5861" s="7"/>
    </row>
    <row r="5862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7"/>
      <c r="U5862" s="7"/>
      <c r="V5862" s="7"/>
      <c r="W5862" s="7"/>
      <c r="X5862" s="7"/>
      <c r="Y5862" s="7"/>
      <c r="Z5862" s="7"/>
    </row>
    <row r="5863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7"/>
      <c r="U5863" s="7"/>
      <c r="V5863" s="7"/>
      <c r="W5863" s="7"/>
      <c r="X5863" s="7"/>
      <c r="Y5863" s="7"/>
      <c r="Z5863" s="7"/>
    </row>
    <row r="5864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7"/>
      <c r="U5864" s="7"/>
      <c r="V5864" s="7"/>
      <c r="W5864" s="7"/>
      <c r="X5864" s="7"/>
      <c r="Y5864" s="7"/>
      <c r="Z5864" s="7"/>
    </row>
    <row r="586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7"/>
      <c r="U5865" s="7"/>
      <c r="V5865" s="7"/>
      <c r="W5865" s="7"/>
      <c r="X5865" s="7"/>
      <c r="Y5865" s="7"/>
      <c r="Z5865" s="7"/>
    </row>
    <row r="5866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7"/>
      <c r="U5866" s="7"/>
      <c r="V5866" s="7"/>
      <c r="W5866" s="7"/>
      <c r="X5866" s="7"/>
      <c r="Y5866" s="7"/>
      <c r="Z5866" s="7"/>
    </row>
    <row r="5867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7"/>
      <c r="U5867" s="7"/>
      <c r="V5867" s="7"/>
      <c r="W5867" s="7"/>
      <c r="X5867" s="7"/>
      <c r="Y5867" s="7"/>
      <c r="Z5867" s="7"/>
    </row>
    <row r="5868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7"/>
      <c r="U5868" s="7"/>
      <c r="V5868" s="7"/>
      <c r="W5868" s="7"/>
      <c r="X5868" s="7"/>
      <c r="Y5868" s="7"/>
      <c r="Z5868" s="7"/>
    </row>
    <row r="5869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7"/>
      <c r="U5869" s="7"/>
      <c r="V5869" s="7"/>
      <c r="W5869" s="7"/>
      <c r="X5869" s="7"/>
      <c r="Y5869" s="7"/>
      <c r="Z5869" s="7"/>
    </row>
    <row r="5870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7"/>
      <c r="U5870" s="7"/>
      <c r="V5870" s="7"/>
      <c r="W5870" s="7"/>
      <c r="X5870" s="7"/>
      <c r="Y5870" s="7"/>
      <c r="Z5870" s="7"/>
    </row>
    <row r="5871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7"/>
      <c r="U5871" s="7"/>
      <c r="V5871" s="7"/>
      <c r="W5871" s="7"/>
      <c r="X5871" s="7"/>
      <c r="Y5871" s="7"/>
      <c r="Z5871" s="7"/>
    </row>
    <row r="5872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7"/>
      <c r="U5872" s="7"/>
      <c r="V5872" s="7"/>
      <c r="W5872" s="7"/>
      <c r="X5872" s="7"/>
      <c r="Y5872" s="7"/>
      <c r="Z5872" s="7"/>
    </row>
    <row r="5873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7"/>
      <c r="U5873" s="7"/>
      <c r="V5873" s="7"/>
      <c r="W5873" s="7"/>
      <c r="X5873" s="7"/>
      <c r="Y5873" s="7"/>
      <c r="Z5873" s="7"/>
    </row>
    <row r="5874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7"/>
      <c r="U5874" s="7"/>
      <c r="V5874" s="7"/>
      <c r="W5874" s="7"/>
      <c r="X5874" s="7"/>
      <c r="Y5874" s="7"/>
      <c r="Z5874" s="7"/>
    </row>
    <row r="587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7"/>
      <c r="U5875" s="7"/>
      <c r="V5875" s="7"/>
      <c r="W5875" s="7"/>
      <c r="X5875" s="7"/>
      <c r="Y5875" s="7"/>
      <c r="Z5875" s="7"/>
    </row>
    <row r="5876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7"/>
      <c r="U5876" s="7"/>
      <c r="V5876" s="7"/>
      <c r="W5876" s="7"/>
      <c r="X5876" s="7"/>
      <c r="Y5876" s="7"/>
      <c r="Z5876" s="7"/>
    </row>
    <row r="5877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7"/>
      <c r="U5877" s="7"/>
      <c r="V5877" s="7"/>
      <c r="W5877" s="7"/>
      <c r="X5877" s="7"/>
      <c r="Y5877" s="7"/>
      <c r="Z5877" s="7"/>
    </row>
    <row r="5878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7"/>
      <c r="U5878" s="7"/>
      <c r="V5878" s="7"/>
      <c r="W5878" s="7"/>
      <c r="X5878" s="7"/>
      <c r="Y5878" s="7"/>
      <c r="Z5878" s="7"/>
    </row>
    <row r="5879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7"/>
      <c r="U5879" s="7"/>
      <c r="V5879" s="7"/>
      <c r="W5879" s="7"/>
      <c r="X5879" s="7"/>
      <c r="Y5879" s="7"/>
      <c r="Z5879" s="7"/>
    </row>
    <row r="5880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7"/>
      <c r="U5880" s="7"/>
      <c r="V5880" s="7"/>
      <c r="W5880" s="7"/>
      <c r="X5880" s="7"/>
      <c r="Y5880" s="7"/>
      <c r="Z5880" s="7"/>
    </row>
    <row r="5881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7"/>
      <c r="U5881" s="7"/>
      <c r="V5881" s="7"/>
      <c r="W5881" s="7"/>
      <c r="X5881" s="7"/>
      <c r="Y5881" s="7"/>
      <c r="Z5881" s="7"/>
    </row>
    <row r="5882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7"/>
      <c r="U5882" s="7"/>
      <c r="V5882" s="7"/>
      <c r="W5882" s="7"/>
      <c r="X5882" s="7"/>
      <c r="Y5882" s="7"/>
      <c r="Z5882" s="7"/>
    </row>
    <row r="5883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7"/>
      <c r="U5883" s="7"/>
      <c r="V5883" s="7"/>
      <c r="W5883" s="7"/>
      <c r="X5883" s="7"/>
      <c r="Y5883" s="7"/>
      <c r="Z5883" s="7"/>
    </row>
    <row r="5884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7"/>
      <c r="U5884" s="7"/>
      <c r="V5884" s="7"/>
      <c r="W5884" s="7"/>
      <c r="X5884" s="7"/>
      <c r="Y5884" s="7"/>
      <c r="Z5884" s="7"/>
    </row>
    <row r="588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7"/>
      <c r="U5885" s="7"/>
      <c r="V5885" s="7"/>
      <c r="W5885" s="7"/>
      <c r="X5885" s="7"/>
      <c r="Y5885" s="7"/>
      <c r="Z5885" s="7"/>
    </row>
    <row r="5886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7"/>
      <c r="U5886" s="7"/>
      <c r="V5886" s="7"/>
      <c r="W5886" s="7"/>
      <c r="X5886" s="7"/>
      <c r="Y5886" s="7"/>
      <c r="Z5886" s="7"/>
    </row>
    <row r="5887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7"/>
      <c r="U5887" s="7"/>
      <c r="V5887" s="7"/>
      <c r="W5887" s="7"/>
      <c r="X5887" s="7"/>
      <c r="Y5887" s="7"/>
      <c r="Z5887" s="7"/>
    </row>
    <row r="5888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7"/>
      <c r="U5888" s="7"/>
      <c r="V5888" s="7"/>
      <c r="W5888" s="7"/>
      <c r="X5888" s="7"/>
      <c r="Y5888" s="7"/>
      <c r="Z5888" s="7"/>
    </row>
    <row r="5889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7"/>
      <c r="U5889" s="7"/>
      <c r="V5889" s="7"/>
      <c r="W5889" s="7"/>
      <c r="X5889" s="7"/>
      <c r="Y5889" s="7"/>
      <c r="Z5889" s="7"/>
    </row>
    <row r="5890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7"/>
      <c r="U5890" s="7"/>
      <c r="V5890" s="7"/>
      <c r="W5890" s="7"/>
      <c r="X5890" s="7"/>
      <c r="Y5890" s="7"/>
      <c r="Z5890" s="7"/>
    </row>
    <row r="5891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7"/>
      <c r="U5891" s="7"/>
      <c r="V5891" s="7"/>
      <c r="W5891" s="7"/>
      <c r="X5891" s="7"/>
      <c r="Y5891" s="7"/>
      <c r="Z5891" s="7"/>
    </row>
    <row r="5892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7"/>
      <c r="U5892" s="7"/>
      <c r="V5892" s="7"/>
      <c r="W5892" s="7"/>
      <c r="X5892" s="7"/>
      <c r="Y5892" s="7"/>
      <c r="Z5892" s="7"/>
    </row>
    <row r="5893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7"/>
      <c r="U5893" s="7"/>
      <c r="V5893" s="7"/>
      <c r="W5893" s="7"/>
      <c r="X5893" s="7"/>
      <c r="Y5893" s="7"/>
      <c r="Z5893" s="7"/>
    </row>
    <row r="5894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7"/>
      <c r="U5894" s="7"/>
      <c r="V5894" s="7"/>
      <c r="W5894" s="7"/>
      <c r="X5894" s="7"/>
      <c r="Y5894" s="7"/>
      <c r="Z5894" s="7"/>
    </row>
    <row r="589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7"/>
      <c r="U5895" s="7"/>
      <c r="V5895" s="7"/>
      <c r="W5895" s="7"/>
      <c r="X5895" s="7"/>
      <c r="Y5895" s="7"/>
      <c r="Z5895" s="7"/>
    </row>
    <row r="5896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7"/>
      <c r="U5896" s="7"/>
      <c r="V5896" s="7"/>
      <c r="W5896" s="7"/>
      <c r="X5896" s="7"/>
      <c r="Y5896" s="7"/>
      <c r="Z5896" s="7"/>
    </row>
    <row r="5897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7"/>
      <c r="U5897" s="7"/>
      <c r="V5897" s="7"/>
      <c r="W5897" s="7"/>
      <c r="X5897" s="7"/>
      <c r="Y5897" s="7"/>
      <c r="Z5897" s="7"/>
    </row>
    <row r="5898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7"/>
      <c r="U5898" s="7"/>
      <c r="V5898" s="7"/>
      <c r="W5898" s="7"/>
      <c r="X5898" s="7"/>
      <c r="Y5898" s="7"/>
      <c r="Z5898" s="7"/>
    </row>
    <row r="5899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7"/>
      <c r="U5899" s="7"/>
      <c r="V5899" s="7"/>
      <c r="W5899" s="7"/>
      <c r="X5899" s="7"/>
      <c r="Y5899" s="7"/>
      <c r="Z5899" s="7"/>
    </row>
    <row r="5900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7"/>
      <c r="U5900" s="7"/>
      <c r="V5900" s="7"/>
      <c r="W5900" s="7"/>
      <c r="X5900" s="7"/>
      <c r="Y5900" s="7"/>
      <c r="Z5900" s="7"/>
    </row>
    <row r="5901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7"/>
      <c r="U5901" s="7"/>
      <c r="V5901" s="7"/>
      <c r="W5901" s="7"/>
      <c r="X5901" s="7"/>
      <c r="Y5901" s="7"/>
      <c r="Z5901" s="7"/>
    </row>
    <row r="5902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7"/>
      <c r="U5902" s="7"/>
      <c r="V5902" s="7"/>
      <c r="W5902" s="7"/>
      <c r="X5902" s="7"/>
      <c r="Y5902" s="7"/>
      <c r="Z5902" s="7"/>
    </row>
    <row r="5903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7"/>
      <c r="U5903" s="7"/>
      <c r="V5903" s="7"/>
      <c r="W5903" s="7"/>
      <c r="X5903" s="7"/>
      <c r="Y5903" s="7"/>
      <c r="Z5903" s="7"/>
    </row>
    <row r="5904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7"/>
      <c r="U5904" s="7"/>
      <c r="V5904" s="7"/>
      <c r="W5904" s="7"/>
      <c r="X5904" s="7"/>
      <c r="Y5904" s="7"/>
      <c r="Z5904" s="7"/>
    </row>
    <row r="590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7"/>
      <c r="U5905" s="7"/>
      <c r="V5905" s="7"/>
      <c r="W5905" s="7"/>
      <c r="X5905" s="7"/>
      <c r="Y5905" s="7"/>
      <c r="Z5905" s="7"/>
    </row>
    <row r="5906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7"/>
      <c r="U5906" s="7"/>
      <c r="V5906" s="7"/>
      <c r="W5906" s="7"/>
      <c r="X5906" s="7"/>
      <c r="Y5906" s="7"/>
      <c r="Z5906" s="7"/>
    </row>
    <row r="5907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7"/>
      <c r="U5907" s="7"/>
      <c r="V5907" s="7"/>
      <c r="W5907" s="7"/>
      <c r="X5907" s="7"/>
      <c r="Y5907" s="7"/>
      <c r="Z5907" s="7"/>
    </row>
    <row r="5908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7"/>
      <c r="U5908" s="7"/>
      <c r="V5908" s="7"/>
      <c r="W5908" s="7"/>
      <c r="X5908" s="7"/>
      <c r="Y5908" s="7"/>
      <c r="Z5908" s="7"/>
    </row>
    <row r="5909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7"/>
      <c r="U5909" s="7"/>
      <c r="V5909" s="7"/>
      <c r="W5909" s="7"/>
      <c r="X5909" s="7"/>
      <c r="Y5909" s="7"/>
      <c r="Z5909" s="7"/>
    </row>
    <row r="5910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7"/>
      <c r="U5910" s="7"/>
      <c r="V5910" s="7"/>
      <c r="W5910" s="7"/>
      <c r="X5910" s="7"/>
      <c r="Y5910" s="7"/>
      <c r="Z5910" s="7"/>
    </row>
    <row r="5911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7"/>
      <c r="U5911" s="7"/>
      <c r="V5911" s="7"/>
      <c r="W5911" s="7"/>
      <c r="X5911" s="7"/>
      <c r="Y5911" s="7"/>
      <c r="Z5911" s="7"/>
    </row>
    <row r="5912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7"/>
      <c r="U5912" s="7"/>
      <c r="V5912" s="7"/>
      <c r="W5912" s="7"/>
      <c r="X5912" s="7"/>
      <c r="Y5912" s="7"/>
      <c r="Z5912" s="7"/>
    </row>
    <row r="5913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7"/>
      <c r="U5913" s="7"/>
      <c r="V5913" s="7"/>
      <c r="W5913" s="7"/>
      <c r="X5913" s="7"/>
      <c r="Y5913" s="7"/>
      <c r="Z5913" s="7"/>
    </row>
    <row r="5914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7"/>
      <c r="U5914" s="7"/>
      <c r="V5914" s="7"/>
      <c r="W5914" s="7"/>
      <c r="X5914" s="7"/>
      <c r="Y5914" s="7"/>
      <c r="Z5914" s="7"/>
    </row>
    <row r="591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7"/>
      <c r="U5915" s="7"/>
      <c r="V5915" s="7"/>
      <c r="W5915" s="7"/>
      <c r="X5915" s="7"/>
      <c r="Y5915" s="7"/>
      <c r="Z5915" s="7"/>
    </row>
    <row r="5916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7"/>
      <c r="U5916" s="7"/>
      <c r="V5916" s="7"/>
      <c r="W5916" s="7"/>
      <c r="X5916" s="7"/>
      <c r="Y5916" s="7"/>
      <c r="Z5916" s="7"/>
    </row>
    <row r="5917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7"/>
      <c r="U5917" s="7"/>
      <c r="V5917" s="7"/>
      <c r="W5917" s="7"/>
      <c r="X5917" s="7"/>
      <c r="Y5917" s="7"/>
      <c r="Z5917" s="7"/>
    </row>
    <row r="5918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7"/>
      <c r="U5918" s="7"/>
      <c r="V5918" s="7"/>
      <c r="W5918" s="7"/>
      <c r="X5918" s="7"/>
      <c r="Y5918" s="7"/>
      <c r="Z5918" s="7"/>
    </row>
    <row r="5919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7"/>
      <c r="U5919" s="7"/>
      <c r="V5919" s="7"/>
      <c r="W5919" s="7"/>
      <c r="X5919" s="7"/>
      <c r="Y5919" s="7"/>
      <c r="Z5919" s="7"/>
    </row>
    <row r="5920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7"/>
      <c r="U5920" s="7"/>
      <c r="V5920" s="7"/>
      <c r="W5920" s="7"/>
      <c r="X5920" s="7"/>
      <c r="Y5920" s="7"/>
      <c r="Z5920" s="7"/>
    </row>
    <row r="5921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7"/>
      <c r="U5921" s="7"/>
      <c r="V5921" s="7"/>
      <c r="W5921" s="7"/>
      <c r="X5921" s="7"/>
      <c r="Y5921" s="7"/>
      <c r="Z5921" s="7"/>
    </row>
    <row r="5922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7"/>
      <c r="U5922" s="7"/>
      <c r="V5922" s="7"/>
      <c r="W5922" s="7"/>
      <c r="X5922" s="7"/>
      <c r="Y5922" s="7"/>
      <c r="Z5922" s="7"/>
    </row>
    <row r="5923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7"/>
      <c r="U5923" s="7"/>
      <c r="V5923" s="7"/>
      <c r="W5923" s="7"/>
      <c r="X5923" s="7"/>
      <c r="Y5923" s="7"/>
      <c r="Z5923" s="7"/>
    </row>
    <row r="5924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7"/>
      <c r="U5924" s="7"/>
      <c r="V5924" s="7"/>
      <c r="W5924" s="7"/>
      <c r="X5924" s="7"/>
      <c r="Y5924" s="7"/>
      <c r="Z5924" s="7"/>
    </row>
    <row r="59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7"/>
      <c r="U5925" s="7"/>
      <c r="V5925" s="7"/>
      <c r="W5925" s="7"/>
      <c r="X5925" s="7"/>
      <c r="Y5925" s="7"/>
      <c r="Z5925" s="7"/>
    </row>
    <row r="5926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7"/>
      <c r="U5926" s="7"/>
      <c r="V5926" s="7"/>
      <c r="W5926" s="7"/>
      <c r="X5926" s="7"/>
      <c r="Y5926" s="7"/>
      <c r="Z5926" s="7"/>
    </row>
    <row r="5927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7"/>
      <c r="U5927" s="7"/>
      <c r="V5927" s="7"/>
      <c r="W5927" s="7"/>
      <c r="X5927" s="7"/>
      <c r="Y5927" s="7"/>
      <c r="Z5927" s="7"/>
    </row>
    <row r="5928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7"/>
      <c r="U5928" s="7"/>
      <c r="V5928" s="7"/>
      <c r="W5928" s="7"/>
      <c r="X5928" s="7"/>
      <c r="Y5928" s="7"/>
      <c r="Z5928" s="7"/>
    </row>
    <row r="5929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7"/>
      <c r="U5929" s="7"/>
      <c r="V5929" s="7"/>
      <c r="W5929" s="7"/>
      <c r="X5929" s="7"/>
      <c r="Y5929" s="7"/>
      <c r="Z5929" s="7"/>
    </row>
    <row r="5930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7"/>
      <c r="U5930" s="7"/>
      <c r="V5930" s="7"/>
      <c r="W5930" s="7"/>
      <c r="X5930" s="7"/>
      <c r="Y5930" s="7"/>
      <c r="Z5930" s="7"/>
    </row>
    <row r="5931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7"/>
      <c r="U5931" s="7"/>
      <c r="V5931" s="7"/>
      <c r="W5931" s="7"/>
      <c r="X5931" s="7"/>
      <c r="Y5931" s="7"/>
      <c r="Z5931" s="7"/>
    </row>
    <row r="5932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7"/>
      <c r="U5932" s="7"/>
      <c r="V5932" s="7"/>
      <c r="W5932" s="7"/>
      <c r="X5932" s="7"/>
      <c r="Y5932" s="7"/>
      <c r="Z5932" s="7"/>
    </row>
    <row r="5933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7"/>
      <c r="U5933" s="7"/>
      <c r="V5933" s="7"/>
      <c r="W5933" s="7"/>
      <c r="X5933" s="7"/>
      <c r="Y5933" s="7"/>
      <c r="Z5933" s="7"/>
    </row>
    <row r="5934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7"/>
      <c r="U5934" s="7"/>
      <c r="V5934" s="7"/>
      <c r="W5934" s="7"/>
      <c r="X5934" s="7"/>
      <c r="Y5934" s="7"/>
      <c r="Z5934" s="7"/>
    </row>
    <row r="593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7"/>
      <c r="U5935" s="7"/>
      <c r="V5935" s="7"/>
      <c r="W5935" s="7"/>
      <c r="X5935" s="7"/>
      <c r="Y5935" s="7"/>
      <c r="Z5935" s="7"/>
    </row>
    <row r="5936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7"/>
      <c r="U5936" s="7"/>
      <c r="V5936" s="7"/>
      <c r="W5936" s="7"/>
      <c r="X5936" s="7"/>
      <c r="Y5936" s="7"/>
      <c r="Z5936" s="7"/>
    </row>
    <row r="5937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7"/>
      <c r="U5937" s="7"/>
      <c r="V5937" s="7"/>
      <c r="W5937" s="7"/>
      <c r="X5937" s="7"/>
      <c r="Y5937" s="7"/>
      <c r="Z5937" s="7"/>
    </row>
    <row r="5938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7"/>
      <c r="U5938" s="7"/>
      <c r="V5938" s="7"/>
      <c r="W5938" s="7"/>
      <c r="X5938" s="7"/>
      <c r="Y5938" s="7"/>
      <c r="Z5938" s="7"/>
    </row>
    <row r="5939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7"/>
      <c r="U5939" s="7"/>
      <c r="V5939" s="7"/>
      <c r="W5939" s="7"/>
      <c r="X5939" s="7"/>
      <c r="Y5939" s="7"/>
      <c r="Z5939" s="7"/>
    </row>
    <row r="5940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7"/>
      <c r="U5940" s="7"/>
      <c r="V5940" s="7"/>
      <c r="W5940" s="7"/>
      <c r="X5940" s="7"/>
      <c r="Y5940" s="7"/>
      <c r="Z5940" s="7"/>
    </row>
    <row r="5941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7"/>
      <c r="U5941" s="7"/>
      <c r="V5941" s="7"/>
      <c r="W5941" s="7"/>
      <c r="X5941" s="7"/>
      <c r="Y5941" s="7"/>
      <c r="Z5941" s="7"/>
    </row>
    <row r="5942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7"/>
      <c r="U5942" s="7"/>
      <c r="V5942" s="7"/>
      <c r="W5942" s="7"/>
      <c r="X5942" s="7"/>
      <c r="Y5942" s="7"/>
      <c r="Z5942" s="7"/>
    </row>
    <row r="5943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7"/>
      <c r="U5943" s="7"/>
      <c r="V5943" s="7"/>
      <c r="W5943" s="7"/>
      <c r="X5943" s="7"/>
      <c r="Y5943" s="7"/>
      <c r="Z5943" s="7"/>
    </row>
    <row r="5944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7"/>
      <c r="U5944" s="7"/>
      <c r="V5944" s="7"/>
      <c r="W5944" s="7"/>
      <c r="X5944" s="7"/>
      <c r="Y5944" s="7"/>
      <c r="Z5944" s="7"/>
    </row>
    <row r="594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7"/>
      <c r="U5945" s="7"/>
      <c r="V5945" s="7"/>
      <c r="W5945" s="7"/>
      <c r="X5945" s="7"/>
      <c r="Y5945" s="7"/>
      <c r="Z5945" s="7"/>
    </row>
    <row r="5946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7"/>
      <c r="U5946" s="7"/>
      <c r="V5946" s="7"/>
      <c r="W5946" s="7"/>
      <c r="X5946" s="7"/>
      <c r="Y5946" s="7"/>
      <c r="Z5946" s="7"/>
    </row>
    <row r="5947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7"/>
      <c r="U5947" s="7"/>
      <c r="V5947" s="7"/>
      <c r="W5947" s="7"/>
      <c r="X5947" s="7"/>
      <c r="Y5947" s="7"/>
      <c r="Z5947" s="7"/>
    </row>
    <row r="5948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7"/>
      <c r="U5948" s="7"/>
      <c r="V5948" s="7"/>
      <c r="W5948" s="7"/>
      <c r="X5948" s="7"/>
      <c r="Y5948" s="7"/>
      <c r="Z5948" s="7"/>
    </row>
    <row r="5949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7"/>
      <c r="U5949" s="7"/>
      <c r="V5949" s="7"/>
      <c r="W5949" s="7"/>
      <c r="X5949" s="7"/>
      <c r="Y5949" s="7"/>
      <c r="Z5949" s="7"/>
    </row>
    <row r="5950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7"/>
      <c r="U5950" s="7"/>
      <c r="V5950" s="7"/>
      <c r="W5950" s="7"/>
      <c r="X5950" s="7"/>
      <c r="Y5950" s="7"/>
      <c r="Z5950" s="7"/>
    </row>
    <row r="5951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7"/>
      <c r="U5951" s="7"/>
      <c r="V5951" s="7"/>
      <c r="W5951" s="7"/>
      <c r="X5951" s="7"/>
      <c r="Y5951" s="7"/>
      <c r="Z5951" s="7"/>
    </row>
    <row r="5952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7"/>
      <c r="U5952" s="7"/>
      <c r="V5952" s="7"/>
      <c r="W5952" s="7"/>
      <c r="X5952" s="7"/>
      <c r="Y5952" s="7"/>
      <c r="Z5952" s="7"/>
    </row>
    <row r="5953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7"/>
      <c r="U5953" s="7"/>
      <c r="V5953" s="7"/>
      <c r="W5953" s="7"/>
      <c r="X5953" s="7"/>
      <c r="Y5953" s="7"/>
      <c r="Z5953" s="7"/>
    </row>
    <row r="5954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7"/>
      <c r="U5954" s="7"/>
      <c r="V5954" s="7"/>
      <c r="W5954" s="7"/>
      <c r="X5954" s="7"/>
      <c r="Y5954" s="7"/>
      <c r="Z5954" s="7"/>
    </row>
    <row r="595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7"/>
      <c r="U5955" s="7"/>
      <c r="V5955" s="7"/>
      <c r="W5955" s="7"/>
      <c r="X5955" s="7"/>
      <c r="Y5955" s="7"/>
      <c r="Z5955" s="7"/>
    </row>
    <row r="5956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7"/>
      <c r="U5956" s="7"/>
      <c r="V5956" s="7"/>
      <c r="W5956" s="7"/>
      <c r="X5956" s="7"/>
      <c r="Y5956" s="7"/>
      <c r="Z5956" s="7"/>
    </row>
    <row r="5957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7"/>
      <c r="U5957" s="7"/>
      <c r="V5957" s="7"/>
      <c r="W5957" s="7"/>
      <c r="X5957" s="7"/>
      <c r="Y5957" s="7"/>
      <c r="Z5957" s="7"/>
    </row>
    <row r="5958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7"/>
      <c r="U5958" s="7"/>
      <c r="V5958" s="7"/>
      <c r="W5958" s="7"/>
      <c r="X5958" s="7"/>
      <c r="Y5958" s="7"/>
      <c r="Z5958" s="7"/>
    </row>
    <row r="5959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7"/>
      <c r="U5959" s="7"/>
      <c r="V5959" s="7"/>
      <c r="W5959" s="7"/>
      <c r="X5959" s="7"/>
      <c r="Y5959" s="7"/>
      <c r="Z5959" s="7"/>
    </row>
    <row r="5960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7"/>
      <c r="U5960" s="7"/>
      <c r="V5960" s="7"/>
      <c r="W5960" s="7"/>
      <c r="X5960" s="7"/>
      <c r="Y5960" s="7"/>
      <c r="Z5960" s="7"/>
    </row>
    <row r="5961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7"/>
      <c r="U5961" s="7"/>
      <c r="V5961" s="7"/>
      <c r="W5961" s="7"/>
      <c r="X5961" s="7"/>
      <c r="Y5961" s="7"/>
      <c r="Z5961" s="7"/>
    </row>
    <row r="5962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7"/>
      <c r="U5962" s="7"/>
      <c r="V5962" s="7"/>
      <c r="W5962" s="7"/>
      <c r="X5962" s="7"/>
      <c r="Y5962" s="7"/>
      <c r="Z5962" s="7"/>
    </row>
    <row r="5963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7"/>
      <c r="U5963" s="7"/>
      <c r="V5963" s="7"/>
      <c r="W5963" s="7"/>
      <c r="X5963" s="7"/>
      <c r="Y5963" s="7"/>
      <c r="Z5963" s="7"/>
    </row>
    <row r="5964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7"/>
      <c r="U5964" s="7"/>
      <c r="V5964" s="7"/>
      <c r="W5964" s="7"/>
      <c r="X5964" s="7"/>
      <c r="Y5964" s="7"/>
      <c r="Z5964" s="7"/>
    </row>
    <row r="596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7"/>
      <c r="U5965" s="7"/>
      <c r="V5965" s="7"/>
      <c r="W5965" s="7"/>
      <c r="X5965" s="7"/>
      <c r="Y5965" s="7"/>
      <c r="Z5965" s="7"/>
    </row>
    <row r="5966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7"/>
      <c r="U5966" s="7"/>
      <c r="V5966" s="7"/>
      <c r="W5966" s="7"/>
      <c r="X5966" s="7"/>
      <c r="Y5966" s="7"/>
      <c r="Z5966" s="7"/>
    </row>
    <row r="5967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7"/>
      <c r="U5967" s="7"/>
      <c r="V5967" s="7"/>
      <c r="W5967" s="7"/>
      <c r="X5967" s="7"/>
      <c r="Y5967" s="7"/>
      <c r="Z5967" s="7"/>
    </row>
    <row r="5968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7"/>
      <c r="U5968" s="7"/>
      <c r="V5968" s="7"/>
      <c r="W5968" s="7"/>
      <c r="X5968" s="7"/>
      <c r="Y5968" s="7"/>
      <c r="Z5968" s="7"/>
    </row>
    <row r="5969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7"/>
      <c r="U5969" s="7"/>
      <c r="V5969" s="7"/>
      <c r="W5969" s="7"/>
      <c r="X5969" s="7"/>
      <c r="Y5969" s="7"/>
      <c r="Z5969" s="7"/>
    </row>
    <row r="5970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7"/>
      <c r="U5970" s="7"/>
      <c r="V5970" s="7"/>
      <c r="W5970" s="7"/>
      <c r="X5970" s="7"/>
      <c r="Y5970" s="7"/>
      <c r="Z5970" s="7"/>
    </row>
    <row r="5971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7"/>
      <c r="U5971" s="7"/>
      <c r="V5971" s="7"/>
      <c r="W5971" s="7"/>
      <c r="X5971" s="7"/>
      <c r="Y5971" s="7"/>
      <c r="Z5971" s="7"/>
    </row>
    <row r="5972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7"/>
      <c r="U5972" s="7"/>
      <c r="V5972" s="7"/>
      <c r="W5972" s="7"/>
      <c r="X5972" s="7"/>
      <c r="Y5972" s="7"/>
      <c r="Z5972" s="7"/>
    </row>
    <row r="5973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7"/>
      <c r="U5973" s="7"/>
      <c r="V5973" s="7"/>
      <c r="W5973" s="7"/>
      <c r="X5973" s="7"/>
      <c r="Y5973" s="7"/>
      <c r="Z5973" s="7"/>
    </row>
    <row r="5974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7"/>
      <c r="U5974" s="7"/>
      <c r="V5974" s="7"/>
      <c r="W5974" s="7"/>
      <c r="X5974" s="7"/>
      <c r="Y5974" s="7"/>
      <c r="Z5974" s="7"/>
    </row>
    <row r="597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7"/>
      <c r="U5975" s="7"/>
      <c r="V5975" s="7"/>
      <c r="W5975" s="7"/>
      <c r="X5975" s="7"/>
      <c r="Y5975" s="7"/>
      <c r="Z5975" s="7"/>
    </row>
    <row r="5976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7"/>
      <c r="U5976" s="7"/>
      <c r="V5976" s="7"/>
      <c r="W5976" s="7"/>
      <c r="X5976" s="7"/>
      <c r="Y5976" s="7"/>
      <c r="Z5976" s="7"/>
    </row>
    <row r="5977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7"/>
      <c r="U5977" s="7"/>
      <c r="V5977" s="7"/>
      <c r="W5977" s="7"/>
      <c r="X5977" s="7"/>
      <c r="Y5977" s="7"/>
      <c r="Z5977" s="7"/>
    </row>
    <row r="5978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7"/>
      <c r="U5978" s="7"/>
      <c r="V5978" s="7"/>
      <c r="W5978" s="7"/>
      <c r="X5978" s="7"/>
      <c r="Y5978" s="7"/>
      <c r="Z5978" s="7"/>
    </row>
    <row r="5979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7"/>
      <c r="U5979" s="7"/>
      <c r="V5979" s="7"/>
      <c r="W5979" s="7"/>
      <c r="X5979" s="7"/>
      <c r="Y5979" s="7"/>
      <c r="Z5979" s="7"/>
    </row>
    <row r="5980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7"/>
      <c r="U5980" s="7"/>
      <c r="V5980" s="7"/>
      <c r="W5980" s="7"/>
      <c r="X5980" s="7"/>
      <c r="Y5980" s="7"/>
      <c r="Z5980" s="7"/>
    </row>
    <row r="5981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7"/>
      <c r="U5981" s="7"/>
      <c r="V5981" s="7"/>
      <c r="W5981" s="7"/>
      <c r="X5981" s="7"/>
      <c r="Y5981" s="7"/>
      <c r="Z5981" s="7"/>
    </row>
    <row r="5982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7"/>
      <c r="U5982" s="7"/>
      <c r="V5982" s="7"/>
      <c r="W5982" s="7"/>
      <c r="X5982" s="7"/>
      <c r="Y5982" s="7"/>
      <c r="Z5982" s="7"/>
    </row>
    <row r="5983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7"/>
      <c r="U5983" s="7"/>
      <c r="V5983" s="7"/>
      <c r="W5983" s="7"/>
      <c r="X5983" s="7"/>
      <c r="Y5983" s="7"/>
      <c r="Z5983" s="7"/>
    </row>
    <row r="5984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7"/>
      <c r="U5984" s="7"/>
      <c r="V5984" s="7"/>
      <c r="W5984" s="7"/>
      <c r="X5984" s="7"/>
      <c r="Y5984" s="7"/>
      <c r="Z5984" s="7"/>
    </row>
    <row r="598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7"/>
      <c r="U5985" s="7"/>
      <c r="V5985" s="7"/>
      <c r="W5985" s="7"/>
      <c r="X5985" s="7"/>
      <c r="Y5985" s="7"/>
      <c r="Z5985" s="7"/>
    </row>
    <row r="5986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7"/>
      <c r="U5986" s="7"/>
      <c r="V5986" s="7"/>
      <c r="W5986" s="7"/>
      <c r="X5986" s="7"/>
      <c r="Y5986" s="7"/>
      <c r="Z5986" s="7"/>
    </row>
    <row r="5987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7"/>
      <c r="U5987" s="7"/>
      <c r="V5987" s="7"/>
      <c r="W5987" s="7"/>
      <c r="X5987" s="7"/>
      <c r="Y5987" s="7"/>
      <c r="Z5987" s="7"/>
    </row>
    <row r="5988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7"/>
      <c r="U5988" s="7"/>
      <c r="V5988" s="7"/>
      <c r="W5988" s="7"/>
      <c r="X5988" s="7"/>
      <c r="Y5988" s="7"/>
      <c r="Z5988" s="7"/>
    </row>
    <row r="5989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7"/>
      <c r="U5989" s="7"/>
      <c r="V5989" s="7"/>
      <c r="W5989" s="7"/>
      <c r="X5989" s="7"/>
      <c r="Y5989" s="7"/>
      <c r="Z5989" s="7"/>
    </row>
    <row r="5990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7"/>
      <c r="U5990" s="7"/>
      <c r="V5990" s="7"/>
      <c r="W5990" s="7"/>
      <c r="X5990" s="7"/>
      <c r="Y5990" s="7"/>
      <c r="Z5990" s="7"/>
    </row>
    <row r="5991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7"/>
      <c r="U5991" s="7"/>
      <c r="V5991" s="7"/>
      <c r="W5991" s="7"/>
      <c r="X5991" s="7"/>
      <c r="Y5991" s="7"/>
      <c r="Z5991" s="7"/>
    </row>
    <row r="5992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7"/>
      <c r="U5992" s="7"/>
      <c r="V5992" s="7"/>
      <c r="W5992" s="7"/>
      <c r="X5992" s="7"/>
      <c r="Y5992" s="7"/>
      <c r="Z5992" s="7"/>
    </row>
    <row r="5993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7"/>
      <c r="U5993" s="7"/>
      <c r="V5993" s="7"/>
      <c r="W5993" s="7"/>
      <c r="X5993" s="7"/>
      <c r="Y5993" s="7"/>
      <c r="Z5993" s="7"/>
    </row>
    <row r="5994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7"/>
      <c r="U5994" s="7"/>
      <c r="V5994" s="7"/>
      <c r="W5994" s="7"/>
      <c r="X5994" s="7"/>
      <c r="Y5994" s="7"/>
      <c r="Z5994" s="7"/>
    </row>
    <row r="599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7"/>
      <c r="U5995" s="7"/>
      <c r="V5995" s="7"/>
      <c r="W5995" s="7"/>
      <c r="X5995" s="7"/>
      <c r="Y5995" s="7"/>
      <c r="Z5995" s="7"/>
    </row>
    <row r="5996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7"/>
      <c r="U5996" s="7"/>
      <c r="V5996" s="7"/>
      <c r="W5996" s="7"/>
      <c r="X5996" s="7"/>
      <c r="Y5996" s="7"/>
      <c r="Z5996" s="7"/>
    </row>
    <row r="5997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7"/>
      <c r="U5997" s="7"/>
      <c r="V5997" s="7"/>
      <c r="W5997" s="7"/>
      <c r="X5997" s="7"/>
      <c r="Y5997" s="7"/>
      <c r="Z5997" s="7"/>
    </row>
    <row r="5998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7"/>
      <c r="U5998" s="7"/>
      <c r="V5998" s="7"/>
      <c r="W5998" s="7"/>
      <c r="X5998" s="7"/>
      <c r="Y5998" s="7"/>
      <c r="Z5998" s="7"/>
    </row>
    <row r="5999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7"/>
      <c r="U5999" s="7"/>
      <c r="V5999" s="7"/>
      <c r="W5999" s="7"/>
      <c r="X5999" s="7"/>
      <c r="Y5999" s="7"/>
      <c r="Z5999" s="7"/>
    </row>
    <row r="6000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7"/>
      <c r="U6000" s="7"/>
      <c r="V6000" s="7"/>
      <c r="W6000" s="7"/>
      <c r="X6000" s="7"/>
      <c r="Y6000" s="7"/>
      <c r="Z6000" s="7"/>
    </row>
    <row r="6001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7"/>
      <c r="U6001" s="7"/>
      <c r="V6001" s="7"/>
      <c r="W6001" s="7"/>
      <c r="X6001" s="7"/>
      <c r="Y6001" s="7"/>
      <c r="Z6001" s="7"/>
    </row>
    <row r="6002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7"/>
      <c r="U6002" s="7"/>
      <c r="V6002" s="7"/>
      <c r="W6002" s="7"/>
      <c r="X6002" s="7"/>
      <c r="Y6002" s="7"/>
      <c r="Z6002" s="7"/>
    </row>
    <row r="6003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7"/>
      <c r="U6003" s="7"/>
      <c r="V6003" s="7"/>
      <c r="W6003" s="7"/>
      <c r="X6003" s="7"/>
      <c r="Y6003" s="7"/>
      <c r="Z6003" s="7"/>
    </row>
    <row r="6004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7"/>
      <c r="U6004" s="7"/>
      <c r="V6004" s="7"/>
      <c r="W6004" s="7"/>
      <c r="X6004" s="7"/>
      <c r="Y6004" s="7"/>
      <c r="Z6004" s="7"/>
    </row>
    <row r="600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7"/>
      <c r="U6005" s="7"/>
      <c r="V6005" s="7"/>
      <c r="W6005" s="7"/>
      <c r="X6005" s="7"/>
      <c r="Y6005" s="7"/>
      <c r="Z6005" s="7"/>
    </row>
    <row r="6006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7"/>
      <c r="U6006" s="7"/>
      <c r="V6006" s="7"/>
      <c r="W6006" s="7"/>
      <c r="X6006" s="7"/>
      <c r="Y6006" s="7"/>
      <c r="Z6006" s="7"/>
    </row>
    <row r="6007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7"/>
      <c r="U6007" s="7"/>
      <c r="V6007" s="7"/>
      <c r="W6007" s="7"/>
      <c r="X6007" s="7"/>
      <c r="Y6007" s="7"/>
      <c r="Z6007" s="7"/>
    </row>
    <row r="6008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7"/>
      <c r="U6008" s="7"/>
      <c r="V6008" s="7"/>
      <c r="W6008" s="7"/>
      <c r="X6008" s="7"/>
      <c r="Y6008" s="7"/>
      <c r="Z6008" s="7"/>
    </row>
    <row r="6009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7"/>
      <c r="U6009" s="7"/>
      <c r="V6009" s="7"/>
      <c r="W6009" s="7"/>
      <c r="X6009" s="7"/>
      <c r="Y6009" s="7"/>
      <c r="Z6009" s="7"/>
    </row>
    <row r="6010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7"/>
      <c r="U6010" s="7"/>
      <c r="V6010" s="7"/>
      <c r="W6010" s="7"/>
      <c r="X6010" s="7"/>
      <c r="Y6010" s="7"/>
      <c r="Z6010" s="7"/>
    </row>
    <row r="6011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7"/>
      <c r="U6011" s="7"/>
      <c r="V6011" s="7"/>
      <c r="W6011" s="7"/>
      <c r="X6011" s="7"/>
      <c r="Y6011" s="7"/>
      <c r="Z6011" s="7"/>
    </row>
    <row r="6012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7"/>
      <c r="U6012" s="7"/>
      <c r="V6012" s="7"/>
      <c r="W6012" s="7"/>
      <c r="X6012" s="7"/>
      <c r="Y6012" s="7"/>
      <c r="Z6012" s="7"/>
    </row>
    <row r="6013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7"/>
      <c r="U6013" s="7"/>
      <c r="V6013" s="7"/>
      <c r="W6013" s="7"/>
      <c r="X6013" s="7"/>
      <c r="Y6013" s="7"/>
      <c r="Z6013" s="7"/>
    </row>
    <row r="6014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7"/>
      <c r="U6014" s="7"/>
      <c r="V6014" s="7"/>
      <c r="W6014" s="7"/>
      <c r="X6014" s="7"/>
      <c r="Y6014" s="7"/>
      <c r="Z6014" s="7"/>
    </row>
    <row r="601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7"/>
      <c r="U6015" s="7"/>
      <c r="V6015" s="7"/>
      <c r="W6015" s="7"/>
      <c r="X6015" s="7"/>
      <c r="Y6015" s="7"/>
      <c r="Z6015" s="7"/>
    </row>
    <row r="6016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7"/>
      <c r="U6016" s="7"/>
      <c r="V6016" s="7"/>
      <c r="W6016" s="7"/>
      <c r="X6016" s="7"/>
      <c r="Y6016" s="7"/>
      <c r="Z6016" s="7"/>
    </row>
    <row r="6017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7"/>
      <c r="U6017" s="7"/>
      <c r="V6017" s="7"/>
      <c r="W6017" s="7"/>
      <c r="X6017" s="7"/>
      <c r="Y6017" s="7"/>
      <c r="Z6017" s="7"/>
    </row>
    <row r="6018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7"/>
      <c r="U6018" s="7"/>
      <c r="V6018" s="7"/>
      <c r="W6018" s="7"/>
      <c r="X6018" s="7"/>
      <c r="Y6018" s="7"/>
      <c r="Z6018" s="7"/>
    </row>
    <row r="6019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7"/>
      <c r="U6019" s="7"/>
      <c r="V6019" s="7"/>
      <c r="W6019" s="7"/>
      <c r="X6019" s="7"/>
      <c r="Y6019" s="7"/>
      <c r="Z6019" s="7"/>
    </row>
    <row r="6020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7"/>
      <c r="U6020" s="7"/>
      <c r="V6020" s="7"/>
      <c r="W6020" s="7"/>
      <c r="X6020" s="7"/>
      <c r="Y6020" s="7"/>
      <c r="Z6020" s="7"/>
    </row>
    <row r="6021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7"/>
      <c r="U6021" s="7"/>
      <c r="V6021" s="7"/>
      <c r="W6021" s="7"/>
      <c r="X6021" s="7"/>
      <c r="Y6021" s="7"/>
      <c r="Z6021" s="7"/>
    </row>
    <row r="6022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7"/>
      <c r="U6022" s="7"/>
      <c r="V6022" s="7"/>
      <c r="W6022" s="7"/>
      <c r="X6022" s="7"/>
      <c r="Y6022" s="7"/>
      <c r="Z6022" s="7"/>
    </row>
    <row r="6023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7"/>
      <c r="U6023" s="7"/>
      <c r="V6023" s="7"/>
      <c r="W6023" s="7"/>
      <c r="X6023" s="7"/>
      <c r="Y6023" s="7"/>
      <c r="Z6023" s="7"/>
    </row>
    <row r="6024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7"/>
      <c r="U6024" s="7"/>
      <c r="V6024" s="7"/>
      <c r="W6024" s="7"/>
      <c r="X6024" s="7"/>
      <c r="Y6024" s="7"/>
      <c r="Z6024" s="7"/>
    </row>
    <row r="60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7"/>
      <c r="U6025" s="7"/>
      <c r="V6025" s="7"/>
      <c r="W6025" s="7"/>
      <c r="X6025" s="7"/>
      <c r="Y6025" s="7"/>
      <c r="Z6025" s="7"/>
    </row>
    <row r="6026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7"/>
      <c r="U6026" s="7"/>
      <c r="V6026" s="7"/>
      <c r="W6026" s="7"/>
      <c r="X6026" s="7"/>
      <c r="Y6026" s="7"/>
      <c r="Z6026" s="7"/>
    </row>
    <row r="6027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7"/>
      <c r="U6027" s="7"/>
      <c r="V6027" s="7"/>
      <c r="W6027" s="7"/>
      <c r="X6027" s="7"/>
      <c r="Y6027" s="7"/>
      <c r="Z6027" s="7"/>
    </row>
    <row r="6028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7"/>
      <c r="U6028" s="7"/>
      <c r="V6028" s="7"/>
      <c r="W6028" s="7"/>
      <c r="X6028" s="7"/>
      <c r="Y6028" s="7"/>
      <c r="Z6028" s="7"/>
    </row>
    <row r="6029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7"/>
      <c r="U6029" s="7"/>
      <c r="V6029" s="7"/>
      <c r="W6029" s="7"/>
      <c r="X6029" s="7"/>
      <c r="Y6029" s="7"/>
      <c r="Z6029" s="7"/>
    </row>
    <row r="6030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7"/>
      <c r="U6030" s="7"/>
      <c r="V6030" s="7"/>
      <c r="W6030" s="7"/>
      <c r="X6030" s="7"/>
      <c r="Y6030" s="7"/>
      <c r="Z6030" s="7"/>
    </row>
    <row r="6031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7"/>
      <c r="U6031" s="7"/>
      <c r="V6031" s="7"/>
      <c r="W6031" s="7"/>
      <c r="X6031" s="7"/>
      <c r="Y6031" s="7"/>
      <c r="Z6031" s="7"/>
    </row>
    <row r="6032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7"/>
      <c r="U6032" s="7"/>
      <c r="V6032" s="7"/>
      <c r="W6032" s="7"/>
      <c r="X6032" s="7"/>
      <c r="Y6032" s="7"/>
      <c r="Z6032" s="7"/>
    </row>
    <row r="6033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7"/>
      <c r="U6033" s="7"/>
      <c r="V6033" s="7"/>
      <c r="W6033" s="7"/>
      <c r="X6033" s="7"/>
      <c r="Y6033" s="7"/>
      <c r="Z6033" s="7"/>
    </row>
    <row r="6034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7"/>
      <c r="U6034" s="7"/>
      <c r="V6034" s="7"/>
      <c r="W6034" s="7"/>
      <c r="X6034" s="7"/>
      <c r="Y6034" s="7"/>
      <c r="Z6034" s="7"/>
    </row>
    <row r="603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7"/>
      <c r="U6035" s="7"/>
      <c r="V6035" s="7"/>
      <c r="W6035" s="7"/>
      <c r="X6035" s="7"/>
      <c r="Y6035" s="7"/>
      <c r="Z6035" s="7"/>
    </row>
    <row r="6036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7"/>
      <c r="U6036" s="7"/>
      <c r="V6036" s="7"/>
      <c r="W6036" s="7"/>
      <c r="X6036" s="7"/>
      <c r="Y6036" s="7"/>
      <c r="Z6036" s="7"/>
    </row>
    <row r="6037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7"/>
      <c r="U6037" s="7"/>
      <c r="V6037" s="7"/>
      <c r="W6037" s="7"/>
      <c r="X6037" s="7"/>
      <c r="Y6037" s="7"/>
      <c r="Z6037" s="7"/>
    </row>
    <row r="6038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7"/>
      <c r="U6038" s="7"/>
      <c r="V6038" s="7"/>
      <c r="W6038" s="7"/>
      <c r="X6038" s="7"/>
      <c r="Y6038" s="7"/>
      <c r="Z6038" s="7"/>
    </row>
    <row r="6039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7"/>
      <c r="U6039" s="7"/>
      <c r="V6039" s="7"/>
      <c r="W6039" s="7"/>
      <c r="X6039" s="7"/>
      <c r="Y6039" s="7"/>
      <c r="Z6039" s="7"/>
    </row>
    <row r="6040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7"/>
      <c r="U6040" s="7"/>
      <c r="V6040" s="7"/>
      <c r="W6040" s="7"/>
      <c r="X6040" s="7"/>
      <c r="Y6040" s="7"/>
      <c r="Z6040" s="7"/>
    </row>
    <row r="6041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7"/>
      <c r="U6041" s="7"/>
      <c r="V6041" s="7"/>
      <c r="W6041" s="7"/>
      <c r="X6041" s="7"/>
      <c r="Y6041" s="7"/>
      <c r="Z6041" s="7"/>
    </row>
    <row r="6042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7"/>
      <c r="U6042" s="7"/>
      <c r="V6042" s="7"/>
      <c r="W6042" s="7"/>
      <c r="X6042" s="7"/>
      <c r="Y6042" s="7"/>
      <c r="Z6042" s="7"/>
    </row>
    <row r="6043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7"/>
      <c r="U6043" s="7"/>
      <c r="V6043" s="7"/>
      <c r="W6043" s="7"/>
      <c r="X6043" s="7"/>
      <c r="Y6043" s="7"/>
      <c r="Z6043" s="7"/>
    </row>
    <row r="6044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7"/>
      <c r="U6044" s="7"/>
      <c r="V6044" s="7"/>
      <c r="W6044" s="7"/>
      <c r="X6044" s="7"/>
      <c r="Y6044" s="7"/>
      <c r="Z6044" s="7"/>
    </row>
    <row r="604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7"/>
      <c r="U6045" s="7"/>
      <c r="V6045" s="7"/>
      <c r="W6045" s="7"/>
      <c r="X6045" s="7"/>
      <c r="Y6045" s="7"/>
      <c r="Z6045" s="7"/>
    </row>
    <row r="6046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7"/>
      <c r="U6046" s="7"/>
      <c r="V6046" s="7"/>
      <c r="W6046" s="7"/>
      <c r="X6046" s="7"/>
      <c r="Y6046" s="7"/>
      <c r="Z6046" s="7"/>
    </row>
    <row r="6047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7"/>
      <c r="U6047" s="7"/>
      <c r="V6047" s="7"/>
      <c r="W6047" s="7"/>
      <c r="X6047" s="7"/>
      <c r="Y6047" s="7"/>
      <c r="Z6047" s="7"/>
    </row>
    <row r="6048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7"/>
      <c r="U6048" s="7"/>
      <c r="V6048" s="7"/>
      <c r="W6048" s="7"/>
      <c r="X6048" s="7"/>
      <c r="Y6048" s="7"/>
      <c r="Z6048" s="7"/>
    </row>
    <row r="6049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7"/>
      <c r="U6049" s="7"/>
      <c r="V6049" s="7"/>
      <c r="W6049" s="7"/>
      <c r="X6049" s="7"/>
      <c r="Y6049" s="7"/>
      <c r="Z6049" s="7"/>
    </row>
    <row r="6050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7"/>
      <c r="U6050" s="7"/>
      <c r="V6050" s="7"/>
      <c r="W6050" s="7"/>
      <c r="X6050" s="7"/>
      <c r="Y6050" s="7"/>
      <c r="Z6050" s="7"/>
    </row>
    <row r="6051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7"/>
      <c r="U6051" s="7"/>
      <c r="V6051" s="7"/>
      <c r="W6051" s="7"/>
      <c r="X6051" s="7"/>
      <c r="Y6051" s="7"/>
      <c r="Z6051" s="7"/>
    </row>
    <row r="6052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7"/>
      <c r="U6052" s="7"/>
      <c r="V6052" s="7"/>
      <c r="W6052" s="7"/>
      <c r="X6052" s="7"/>
      <c r="Y6052" s="7"/>
      <c r="Z6052" s="7"/>
    </row>
    <row r="6053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7"/>
      <c r="U6053" s="7"/>
      <c r="V6053" s="7"/>
      <c r="W6053" s="7"/>
      <c r="X6053" s="7"/>
      <c r="Y6053" s="7"/>
      <c r="Z6053" s="7"/>
    </row>
    <row r="6054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7"/>
      <c r="U6054" s="7"/>
      <c r="V6054" s="7"/>
      <c r="W6054" s="7"/>
      <c r="X6054" s="7"/>
      <c r="Y6054" s="7"/>
      <c r="Z6054" s="7"/>
    </row>
    <row r="605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7"/>
      <c r="U6055" s="7"/>
      <c r="V6055" s="7"/>
      <c r="W6055" s="7"/>
      <c r="X6055" s="7"/>
      <c r="Y6055" s="7"/>
      <c r="Z6055" s="7"/>
    </row>
    <row r="6056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7"/>
      <c r="U6056" s="7"/>
      <c r="V6056" s="7"/>
      <c r="W6056" s="7"/>
      <c r="X6056" s="7"/>
      <c r="Y6056" s="7"/>
      <c r="Z6056" s="7"/>
    </row>
    <row r="6057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7"/>
      <c r="U6057" s="7"/>
      <c r="V6057" s="7"/>
      <c r="W6057" s="7"/>
      <c r="X6057" s="7"/>
      <c r="Y6057" s="7"/>
      <c r="Z6057" s="7"/>
    </row>
    <row r="6058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7"/>
      <c r="U6058" s="7"/>
      <c r="V6058" s="7"/>
      <c r="W6058" s="7"/>
      <c r="X6058" s="7"/>
      <c r="Y6058" s="7"/>
      <c r="Z6058" s="7"/>
    </row>
    <row r="6059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7"/>
      <c r="U6059" s="7"/>
      <c r="V6059" s="7"/>
      <c r="W6059" s="7"/>
      <c r="X6059" s="7"/>
      <c r="Y6059" s="7"/>
      <c r="Z6059" s="7"/>
    </row>
    <row r="6060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7"/>
      <c r="U6060" s="7"/>
      <c r="V6060" s="7"/>
      <c r="W6060" s="7"/>
      <c r="X6060" s="7"/>
      <c r="Y6060" s="7"/>
      <c r="Z6060" s="7"/>
    </row>
    <row r="6061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7"/>
      <c r="U6061" s="7"/>
      <c r="V6061" s="7"/>
      <c r="W6061" s="7"/>
      <c r="X6061" s="7"/>
      <c r="Y6061" s="7"/>
      <c r="Z6061" s="7"/>
    </row>
    <row r="6062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7"/>
      <c r="U6062" s="7"/>
      <c r="V6062" s="7"/>
      <c r="W6062" s="7"/>
      <c r="X6062" s="7"/>
      <c r="Y6062" s="7"/>
      <c r="Z6062" s="7"/>
    </row>
    <row r="6063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7"/>
      <c r="U6063" s="7"/>
      <c r="V6063" s="7"/>
      <c r="W6063" s="7"/>
      <c r="X6063" s="7"/>
      <c r="Y6063" s="7"/>
      <c r="Z6063" s="7"/>
    </row>
    <row r="6064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7"/>
      <c r="U6064" s="7"/>
      <c r="V6064" s="7"/>
      <c r="W6064" s="7"/>
      <c r="X6064" s="7"/>
      <c r="Y6064" s="7"/>
      <c r="Z6064" s="7"/>
    </row>
    <row r="606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7"/>
      <c r="U6065" s="7"/>
      <c r="V6065" s="7"/>
      <c r="W6065" s="7"/>
      <c r="X6065" s="7"/>
      <c r="Y6065" s="7"/>
      <c r="Z6065" s="7"/>
    </row>
    <row r="6066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7"/>
      <c r="U6066" s="7"/>
      <c r="V6066" s="7"/>
      <c r="W6066" s="7"/>
      <c r="X6066" s="7"/>
      <c r="Y6066" s="7"/>
      <c r="Z6066" s="7"/>
    </row>
    <row r="6067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7"/>
      <c r="U6067" s="7"/>
      <c r="V6067" s="7"/>
      <c r="W6067" s="7"/>
      <c r="X6067" s="7"/>
      <c r="Y6067" s="7"/>
      <c r="Z6067" s="7"/>
    </row>
    <row r="6068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7"/>
      <c r="U6068" s="7"/>
      <c r="V6068" s="7"/>
      <c r="W6068" s="7"/>
      <c r="X6068" s="7"/>
      <c r="Y6068" s="7"/>
      <c r="Z6068" s="7"/>
    </row>
    <row r="6069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7"/>
      <c r="U6069" s="7"/>
      <c r="V6069" s="7"/>
      <c r="W6069" s="7"/>
      <c r="X6069" s="7"/>
      <c r="Y6069" s="7"/>
      <c r="Z6069" s="7"/>
    </row>
    <row r="6070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7"/>
      <c r="U6070" s="7"/>
      <c r="V6070" s="7"/>
      <c r="W6070" s="7"/>
      <c r="X6070" s="7"/>
      <c r="Y6070" s="7"/>
      <c r="Z6070" s="7"/>
    </row>
    <row r="6071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7"/>
      <c r="U6071" s="7"/>
      <c r="V6071" s="7"/>
      <c r="W6071" s="7"/>
      <c r="X6071" s="7"/>
      <c r="Y6071" s="7"/>
      <c r="Z6071" s="7"/>
    </row>
    <row r="6072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7"/>
      <c r="U6072" s="7"/>
      <c r="V6072" s="7"/>
      <c r="W6072" s="7"/>
      <c r="X6072" s="7"/>
      <c r="Y6072" s="7"/>
      <c r="Z6072" s="7"/>
    </row>
    <row r="6073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7"/>
      <c r="U6073" s="7"/>
      <c r="V6073" s="7"/>
      <c r="W6073" s="7"/>
      <c r="X6073" s="7"/>
      <c r="Y6073" s="7"/>
      <c r="Z6073" s="7"/>
    </row>
    <row r="6074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7"/>
      <c r="U6074" s="7"/>
      <c r="V6074" s="7"/>
      <c r="W6074" s="7"/>
      <c r="X6074" s="7"/>
      <c r="Y6074" s="7"/>
      <c r="Z6074" s="7"/>
    </row>
    <row r="607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7"/>
      <c r="U6075" s="7"/>
      <c r="V6075" s="7"/>
      <c r="W6075" s="7"/>
      <c r="X6075" s="7"/>
      <c r="Y6075" s="7"/>
      <c r="Z6075" s="7"/>
    </row>
    <row r="6076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7"/>
      <c r="U6076" s="7"/>
      <c r="V6076" s="7"/>
      <c r="W6076" s="7"/>
      <c r="X6076" s="7"/>
      <c r="Y6076" s="7"/>
      <c r="Z6076" s="7"/>
    </row>
    <row r="6077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7"/>
      <c r="U6077" s="7"/>
      <c r="V6077" s="7"/>
      <c r="W6077" s="7"/>
      <c r="X6077" s="7"/>
      <c r="Y6077" s="7"/>
      <c r="Z6077" s="7"/>
    </row>
    <row r="6078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7"/>
      <c r="U6078" s="7"/>
      <c r="V6078" s="7"/>
      <c r="W6078" s="7"/>
      <c r="X6078" s="7"/>
      <c r="Y6078" s="7"/>
      <c r="Z6078" s="7"/>
    </row>
    <row r="6079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7"/>
      <c r="U6079" s="7"/>
      <c r="V6079" s="7"/>
      <c r="W6079" s="7"/>
      <c r="X6079" s="7"/>
      <c r="Y6079" s="7"/>
      <c r="Z6079" s="7"/>
    </row>
    <row r="6080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7"/>
      <c r="U6080" s="7"/>
      <c r="V6080" s="7"/>
      <c r="W6080" s="7"/>
      <c r="X6080" s="7"/>
      <c r="Y6080" s="7"/>
      <c r="Z6080" s="7"/>
    </row>
    <row r="6081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7"/>
      <c r="U6081" s="7"/>
      <c r="V6081" s="7"/>
      <c r="W6081" s="7"/>
      <c r="X6081" s="7"/>
      <c r="Y6081" s="7"/>
      <c r="Z6081" s="7"/>
    </row>
    <row r="6082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7"/>
      <c r="U6082" s="7"/>
      <c r="V6082" s="7"/>
      <c r="W6082" s="7"/>
      <c r="X6082" s="7"/>
      <c r="Y6082" s="7"/>
      <c r="Z6082" s="7"/>
    </row>
    <row r="6083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7"/>
      <c r="U6083" s="7"/>
      <c r="V6083" s="7"/>
      <c r="W6083" s="7"/>
      <c r="X6083" s="7"/>
      <c r="Y6083" s="7"/>
      <c r="Z6083" s="7"/>
    </row>
    <row r="6084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7"/>
      <c r="U6084" s="7"/>
      <c r="V6084" s="7"/>
      <c r="W6084" s="7"/>
      <c r="X6084" s="7"/>
      <c r="Y6084" s="7"/>
      <c r="Z6084" s="7"/>
    </row>
    <row r="608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7"/>
      <c r="U6085" s="7"/>
      <c r="V6085" s="7"/>
      <c r="W6085" s="7"/>
      <c r="X6085" s="7"/>
      <c r="Y6085" s="7"/>
      <c r="Z6085" s="7"/>
    </row>
    <row r="6086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7"/>
      <c r="U6086" s="7"/>
      <c r="V6086" s="7"/>
      <c r="W6086" s="7"/>
      <c r="X6086" s="7"/>
      <c r="Y6086" s="7"/>
      <c r="Z6086" s="7"/>
    </row>
    <row r="6087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7"/>
      <c r="U6087" s="7"/>
      <c r="V6087" s="7"/>
      <c r="W6087" s="7"/>
      <c r="X6087" s="7"/>
      <c r="Y6087" s="7"/>
      <c r="Z6087" s="7"/>
    </row>
    <row r="6088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7"/>
      <c r="U6088" s="7"/>
      <c r="V6088" s="7"/>
      <c r="W6088" s="7"/>
      <c r="X6088" s="7"/>
      <c r="Y6088" s="7"/>
      <c r="Z6088" s="7"/>
    </row>
    <row r="6089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7"/>
      <c r="U6089" s="7"/>
      <c r="V6089" s="7"/>
      <c r="W6089" s="7"/>
      <c r="X6089" s="7"/>
      <c r="Y6089" s="7"/>
      <c r="Z6089" s="7"/>
    </row>
    <row r="6090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7"/>
      <c r="U6090" s="7"/>
      <c r="V6090" s="7"/>
      <c r="W6090" s="7"/>
      <c r="X6090" s="7"/>
      <c r="Y6090" s="7"/>
      <c r="Z6090" s="7"/>
    </row>
    <row r="6091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7"/>
      <c r="U6091" s="7"/>
      <c r="V6091" s="7"/>
      <c r="W6091" s="7"/>
      <c r="X6091" s="7"/>
      <c r="Y6091" s="7"/>
      <c r="Z6091" s="7"/>
    </row>
    <row r="6092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7"/>
      <c r="U6092" s="7"/>
      <c r="V6092" s="7"/>
      <c r="W6092" s="7"/>
      <c r="X6092" s="7"/>
      <c r="Y6092" s="7"/>
      <c r="Z6092" s="7"/>
    </row>
    <row r="6093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7"/>
      <c r="U6093" s="7"/>
      <c r="V6093" s="7"/>
      <c r="W6093" s="7"/>
      <c r="X6093" s="7"/>
      <c r="Y6093" s="7"/>
      <c r="Z6093" s="7"/>
    </row>
    <row r="6094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7"/>
      <c r="U6094" s="7"/>
      <c r="V6094" s="7"/>
      <c r="W6094" s="7"/>
      <c r="X6094" s="7"/>
      <c r="Y6094" s="7"/>
      <c r="Z6094" s="7"/>
    </row>
    <row r="609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7"/>
      <c r="U6095" s="7"/>
      <c r="V6095" s="7"/>
      <c r="W6095" s="7"/>
      <c r="X6095" s="7"/>
      <c r="Y6095" s="7"/>
      <c r="Z6095" s="7"/>
    </row>
    <row r="6096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7"/>
      <c r="U6096" s="7"/>
      <c r="V6096" s="7"/>
      <c r="W6096" s="7"/>
      <c r="X6096" s="7"/>
      <c r="Y6096" s="7"/>
      <c r="Z6096" s="7"/>
    </row>
    <row r="6097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7"/>
      <c r="U6097" s="7"/>
      <c r="V6097" s="7"/>
      <c r="W6097" s="7"/>
      <c r="X6097" s="7"/>
      <c r="Y6097" s="7"/>
      <c r="Z6097" s="7"/>
    </row>
    <row r="6098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7"/>
      <c r="U6098" s="7"/>
      <c r="V6098" s="7"/>
      <c r="W6098" s="7"/>
      <c r="X6098" s="7"/>
      <c r="Y6098" s="7"/>
      <c r="Z6098" s="7"/>
    </row>
    <row r="6099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7"/>
      <c r="U6099" s="7"/>
      <c r="V6099" s="7"/>
      <c r="W6099" s="7"/>
      <c r="X6099" s="7"/>
      <c r="Y6099" s="7"/>
      <c r="Z6099" s="7"/>
    </row>
    <row r="6100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7"/>
      <c r="U6100" s="7"/>
      <c r="V6100" s="7"/>
      <c r="W6100" s="7"/>
      <c r="X6100" s="7"/>
      <c r="Y6100" s="7"/>
      <c r="Z6100" s="7"/>
    </row>
    <row r="6101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7"/>
      <c r="U6101" s="7"/>
      <c r="V6101" s="7"/>
      <c r="W6101" s="7"/>
      <c r="X6101" s="7"/>
      <c r="Y6101" s="7"/>
      <c r="Z6101" s="7"/>
    </row>
    <row r="6102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7"/>
      <c r="U6102" s="7"/>
      <c r="V6102" s="7"/>
      <c r="W6102" s="7"/>
      <c r="X6102" s="7"/>
      <c r="Y6102" s="7"/>
      <c r="Z6102" s="7"/>
    </row>
    <row r="6103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7"/>
      <c r="U6103" s="7"/>
      <c r="V6103" s="7"/>
      <c r="W6103" s="7"/>
      <c r="X6103" s="7"/>
      <c r="Y6103" s="7"/>
      <c r="Z6103" s="7"/>
    </row>
    <row r="6104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7"/>
      <c r="U6104" s="7"/>
      <c r="V6104" s="7"/>
      <c r="W6104" s="7"/>
      <c r="X6104" s="7"/>
      <c r="Y6104" s="7"/>
      <c r="Z6104" s="7"/>
    </row>
    <row r="610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7"/>
      <c r="U6105" s="7"/>
      <c r="V6105" s="7"/>
      <c r="W6105" s="7"/>
      <c r="X6105" s="7"/>
      <c r="Y6105" s="7"/>
      <c r="Z6105" s="7"/>
    </row>
    <row r="6106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7"/>
      <c r="U6106" s="7"/>
      <c r="V6106" s="7"/>
      <c r="W6106" s="7"/>
      <c r="X6106" s="7"/>
      <c r="Y6106" s="7"/>
      <c r="Z6106" s="7"/>
    </row>
    <row r="6107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7"/>
      <c r="U6107" s="7"/>
      <c r="V6107" s="7"/>
      <c r="W6107" s="7"/>
      <c r="X6107" s="7"/>
      <c r="Y6107" s="7"/>
      <c r="Z6107" s="7"/>
    </row>
    <row r="6108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7"/>
      <c r="U6108" s="7"/>
      <c r="V6108" s="7"/>
      <c r="W6108" s="7"/>
      <c r="X6108" s="7"/>
      <c r="Y6108" s="7"/>
      <c r="Z6108" s="7"/>
    </row>
    <row r="6109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7"/>
      <c r="U6109" s="7"/>
      <c r="V6109" s="7"/>
      <c r="W6109" s="7"/>
      <c r="X6109" s="7"/>
      <c r="Y6109" s="7"/>
      <c r="Z6109" s="7"/>
    </row>
    <row r="6110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7"/>
      <c r="U6110" s="7"/>
      <c r="V6110" s="7"/>
      <c r="W6110" s="7"/>
      <c r="X6110" s="7"/>
      <c r="Y6110" s="7"/>
      <c r="Z6110" s="7"/>
    </row>
    <row r="6111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7"/>
      <c r="U6111" s="7"/>
      <c r="V6111" s="7"/>
      <c r="W6111" s="7"/>
      <c r="X6111" s="7"/>
      <c r="Y6111" s="7"/>
      <c r="Z6111" s="7"/>
    </row>
    <row r="6112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7"/>
      <c r="U6112" s="7"/>
      <c r="V6112" s="7"/>
      <c r="W6112" s="7"/>
      <c r="X6112" s="7"/>
      <c r="Y6112" s="7"/>
      <c r="Z6112" s="7"/>
    </row>
    <row r="6113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7"/>
      <c r="U6113" s="7"/>
      <c r="V6113" s="7"/>
      <c r="W6113" s="7"/>
      <c r="X6113" s="7"/>
      <c r="Y6113" s="7"/>
      <c r="Z6113" s="7"/>
    </row>
    <row r="6114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7"/>
      <c r="U6114" s="7"/>
      <c r="V6114" s="7"/>
      <c r="W6114" s="7"/>
      <c r="X6114" s="7"/>
      <c r="Y6114" s="7"/>
      <c r="Z6114" s="7"/>
    </row>
    <row r="611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7"/>
      <c r="U6115" s="7"/>
      <c r="V6115" s="7"/>
      <c r="W6115" s="7"/>
      <c r="X6115" s="7"/>
      <c r="Y6115" s="7"/>
      <c r="Z6115" s="7"/>
    </row>
    <row r="6116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7"/>
      <c r="U6116" s="7"/>
      <c r="V6116" s="7"/>
      <c r="W6116" s="7"/>
      <c r="X6116" s="7"/>
      <c r="Y6116" s="7"/>
      <c r="Z6116" s="7"/>
    </row>
    <row r="6117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7"/>
      <c r="U6117" s="7"/>
      <c r="V6117" s="7"/>
      <c r="W6117" s="7"/>
      <c r="X6117" s="7"/>
      <c r="Y6117" s="7"/>
      <c r="Z6117" s="7"/>
    </row>
    <row r="6118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7"/>
      <c r="U6118" s="7"/>
      <c r="V6118" s="7"/>
      <c r="W6118" s="7"/>
      <c r="X6118" s="7"/>
      <c r="Y6118" s="7"/>
      <c r="Z6118" s="7"/>
    </row>
    <row r="6119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7"/>
      <c r="U6119" s="7"/>
      <c r="V6119" s="7"/>
      <c r="W6119" s="7"/>
      <c r="X6119" s="7"/>
      <c r="Y6119" s="7"/>
      <c r="Z6119" s="7"/>
    </row>
    <row r="6120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7"/>
      <c r="U6120" s="7"/>
      <c r="V6120" s="7"/>
      <c r="W6120" s="7"/>
      <c r="X6120" s="7"/>
      <c r="Y6120" s="7"/>
      <c r="Z6120" s="7"/>
    </row>
    <row r="6121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7"/>
      <c r="U6121" s="7"/>
      <c r="V6121" s="7"/>
      <c r="W6121" s="7"/>
      <c r="X6121" s="7"/>
      <c r="Y6121" s="7"/>
      <c r="Z6121" s="7"/>
    </row>
    <row r="6122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7"/>
      <c r="U6122" s="7"/>
      <c r="V6122" s="7"/>
      <c r="W6122" s="7"/>
      <c r="X6122" s="7"/>
      <c r="Y6122" s="7"/>
      <c r="Z6122" s="7"/>
    </row>
    <row r="6123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7"/>
      <c r="U6123" s="7"/>
      <c r="V6123" s="7"/>
      <c r="W6123" s="7"/>
      <c r="X6123" s="7"/>
      <c r="Y6123" s="7"/>
      <c r="Z6123" s="7"/>
    </row>
    <row r="6124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7"/>
      <c r="U6124" s="7"/>
      <c r="V6124" s="7"/>
      <c r="W6124" s="7"/>
      <c r="X6124" s="7"/>
      <c r="Y6124" s="7"/>
      <c r="Z6124" s="7"/>
    </row>
    <row r="61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7"/>
      <c r="U6125" s="7"/>
      <c r="V6125" s="7"/>
      <c r="W6125" s="7"/>
      <c r="X6125" s="7"/>
      <c r="Y6125" s="7"/>
      <c r="Z6125" s="7"/>
    </row>
    <row r="6126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7"/>
      <c r="U6126" s="7"/>
      <c r="V6126" s="7"/>
      <c r="W6126" s="7"/>
      <c r="X6126" s="7"/>
      <c r="Y6126" s="7"/>
      <c r="Z6126" s="7"/>
    </row>
    <row r="6127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7"/>
      <c r="U6127" s="7"/>
      <c r="V6127" s="7"/>
      <c r="W6127" s="7"/>
      <c r="X6127" s="7"/>
      <c r="Y6127" s="7"/>
      <c r="Z6127" s="7"/>
    </row>
    <row r="6128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7"/>
      <c r="U6128" s="7"/>
      <c r="V6128" s="7"/>
      <c r="W6128" s="7"/>
      <c r="X6128" s="7"/>
      <c r="Y6128" s="7"/>
      <c r="Z6128" s="7"/>
    </row>
    <row r="6129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7"/>
      <c r="U6129" s="7"/>
      <c r="V6129" s="7"/>
      <c r="W6129" s="7"/>
      <c r="X6129" s="7"/>
      <c r="Y6129" s="7"/>
      <c r="Z6129" s="7"/>
    </row>
    <row r="6130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7"/>
      <c r="U6130" s="7"/>
      <c r="V6130" s="7"/>
      <c r="W6130" s="7"/>
      <c r="X6130" s="7"/>
      <c r="Y6130" s="7"/>
      <c r="Z6130" s="7"/>
    </row>
    <row r="6131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7"/>
      <c r="U6131" s="7"/>
      <c r="V6131" s="7"/>
      <c r="W6131" s="7"/>
      <c r="X6131" s="7"/>
      <c r="Y6131" s="7"/>
      <c r="Z6131" s="7"/>
    </row>
    <row r="6132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7"/>
      <c r="U6132" s="7"/>
      <c r="V6132" s="7"/>
      <c r="W6132" s="7"/>
      <c r="X6132" s="7"/>
      <c r="Y6132" s="7"/>
      <c r="Z6132" s="7"/>
    </row>
    <row r="6133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7"/>
      <c r="U6133" s="7"/>
      <c r="V6133" s="7"/>
      <c r="W6133" s="7"/>
      <c r="X6133" s="7"/>
      <c r="Y6133" s="7"/>
      <c r="Z6133" s="7"/>
    </row>
    <row r="6134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7"/>
      <c r="U6134" s="7"/>
      <c r="V6134" s="7"/>
      <c r="W6134" s="7"/>
      <c r="X6134" s="7"/>
      <c r="Y6134" s="7"/>
      <c r="Z6134" s="7"/>
    </row>
    <row r="613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7"/>
      <c r="U6135" s="7"/>
      <c r="V6135" s="7"/>
      <c r="W6135" s="7"/>
      <c r="X6135" s="7"/>
      <c r="Y6135" s="7"/>
      <c r="Z6135" s="7"/>
    </row>
    <row r="6136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7"/>
      <c r="U6136" s="7"/>
      <c r="V6136" s="7"/>
      <c r="W6136" s="7"/>
      <c r="X6136" s="7"/>
      <c r="Y6136" s="7"/>
      <c r="Z6136" s="7"/>
    </row>
    <row r="6137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7"/>
      <c r="U6137" s="7"/>
      <c r="V6137" s="7"/>
      <c r="W6137" s="7"/>
      <c r="X6137" s="7"/>
      <c r="Y6137" s="7"/>
      <c r="Z6137" s="7"/>
    </row>
    <row r="6138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7"/>
      <c r="U6138" s="7"/>
      <c r="V6138" s="7"/>
      <c r="W6138" s="7"/>
      <c r="X6138" s="7"/>
      <c r="Y6138" s="7"/>
      <c r="Z6138" s="7"/>
    </row>
    <row r="6139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7"/>
      <c r="U6139" s="7"/>
      <c r="V6139" s="7"/>
      <c r="W6139" s="7"/>
      <c r="X6139" s="7"/>
      <c r="Y6139" s="7"/>
      <c r="Z6139" s="7"/>
    </row>
    <row r="6140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7"/>
      <c r="U6140" s="7"/>
      <c r="V6140" s="7"/>
      <c r="W6140" s="7"/>
      <c r="X6140" s="7"/>
      <c r="Y6140" s="7"/>
      <c r="Z6140" s="7"/>
    </row>
    <row r="6141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7"/>
      <c r="U6141" s="7"/>
      <c r="V6141" s="7"/>
      <c r="W6141" s="7"/>
      <c r="X6141" s="7"/>
      <c r="Y6141" s="7"/>
      <c r="Z6141" s="7"/>
    </row>
    <row r="6142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7"/>
      <c r="U6142" s="7"/>
      <c r="V6142" s="7"/>
      <c r="W6142" s="7"/>
      <c r="X6142" s="7"/>
      <c r="Y6142" s="7"/>
      <c r="Z6142" s="7"/>
    </row>
    <row r="6143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7"/>
      <c r="U6143" s="7"/>
      <c r="V6143" s="7"/>
      <c r="W6143" s="7"/>
      <c r="X6143" s="7"/>
      <c r="Y6143" s="7"/>
      <c r="Z6143" s="7"/>
    </row>
    <row r="6144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7"/>
      <c r="U6144" s="7"/>
      <c r="V6144" s="7"/>
      <c r="W6144" s="7"/>
      <c r="X6144" s="7"/>
      <c r="Y6144" s="7"/>
      <c r="Z6144" s="7"/>
    </row>
    <row r="614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7"/>
      <c r="U6145" s="7"/>
      <c r="V6145" s="7"/>
      <c r="W6145" s="7"/>
      <c r="X6145" s="7"/>
      <c r="Y6145" s="7"/>
      <c r="Z6145" s="7"/>
    </row>
    <row r="6146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7"/>
      <c r="U6146" s="7"/>
      <c r="V6146" s="7"/>
      <c r="W6146" s="7"/>
      <c r="X6146" s="7"/>
      <c r="Y6146" s="7"/>
      <c r="Z6146" s="7"/>
    </row>
    <row r="6147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7"/>
      <c r="U6147" s="7"/>
      <c r="V6147" s="7"/>
      <c r="W6147" s="7"/>
      <c r="X6147" s="7"/>
      <c r="Y6147" s="7"/>
      <c r="Z6147" s="7"/>
    </row>
    <row r="6148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7"/>
      <c r="U6148" s="7"/>
      <c r="V6148" s="7"/>
      <c r="W6148" s="7"/>
      <c r="X6148" s="7"/>
      <c r="Y6148" s="7"/>
      <c r="Z6148" s="7"/>
    </row>
    <row r="6149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7"/>
      <c r="U6149" s="7"/>
      <c r="V6149" s="7"/>
      <c r="W6149" s="7"/>
      <c r="X6149" s="7"/>
      <c r="Y6149" s="7"/>
      <c r="Z6149" s="7"/>
    </row>
    <row r="6150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7"/>
      <c r="U6150" s="7"/>
      <c r="V6150" s="7"/>
      <c r="W6150" s="7"/>
      <c r="X6150" s="7"/>
      <c r="Y6150" s="7"/>
      <c r="Z6150" s="7"/>
    </row>
    <row r="6151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7"/>
      <c r="U6151" s="7"/>
      <c r="V6151" s="7"/>
      <c r="W6151" s="7"/>
      <c r="X6151" s="7"/>
      <c r="Y6151" s="7"/>
      <c r="Z6151" s="7"/>
    </row>
    <row r="6152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7"/>
      <c r="U6152" s="7"/>
      <c r="V6152" s="7"/>
      <c r="W6152" s="7"/>
      <c r="X6152" s="7"/>
      <c r="Y6152" s="7"/>
      <c r="Z6152" s="7"/>
    </row>
    <row r="6153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7"/>
      <c r="U6153" s="7"/>
      <c r="V6153" s="7"/>
      <c r="W6153" s="7"/>
      <c r="X6153" s="7"/>
      <c r="Y6153" s="7"/>
      <c r="Z6153" s="7"/>
    </row>
    <row r="6154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7"/>
      <c r="U6154" s="7"/>
      <c r="V6154" s="7"/>
      <c r="W6154" s="7"/>
      <c r="X6154" s="7"/>
      <c r="Y6154" s="7"/>
      <c r="Z6154" s="7"/>
    </row>
    <row r="615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7"/>
      <c r="U6155" s="7"/>
      <c r="V6155" s="7"/>
      <c r="W6155" s="7"/>
      <c r="X6155" s="7"/>
      <c r="Y6155" s="7"/>
      <c r="Z6155" s="7"/>
    </row>
    <row r="6156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7"/>
      <c r="U6156" s="7"/>
      <c r="V6156" s="7"/>
      <c r="W6156" s="7"/>
      <c r="X6156" s="7"/>
      <c r="Y6156" s="7"/>
      <c r="Z6156" s="7"/>
    </row>
    <row r="6157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7"/>
      <c r="U6157" s="7"/>
      <c r="V6157" s="7"/>
      <c r="W6157" s="7"/>
      <c r="X6157" s="7"/>
      <c r="Y6157" s="7"/>
      <c r="Z6157" s="7"/>
    </row>
    <row r="6158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7"/>
      <c r="U6158" s="7"/>
      <c r="V6158" s="7"/>
      <c r="W6158" s="7"/>
      <c r="X6158" s="7"/>
      <c r="Y6158" s="7"/>
      <c r="Z6158" s="7"/>
    </row>
    <row r="6159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7"/>
      <c r="U6159" s="7"/>
      <c r="V6159" s="7"/>
      <c r="W6159" s="7"/>
      <c r="X6159" s="7"/>
      <c r="Y6159" s="7"/>
      <c r="Z6159" s="7"/>
    </row>
    <row r="6160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7"/>
      <c r="U6160" s="7"/>
      <c r="V6160" s="7"/>
      <c r="W6160" s="7"/>
      <c r="X6160" s="7"/>
      <c r="Y6160" s="7"/>
      <c r="Z6160" s="7"/>
    </row>
    <row r="6161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7"/>
      <c r="U6161" s="7"/>
      <c r="V6161" s="7"/>
      <c r="W6161" s="7"/>
      <c r="X6161" s="7"/>
      <c r="Y6161" s="7"/>
      <c r="Z6161" s="7"/>
    </row>
    <row r="6162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7"/>
      <c r="U6162" s="7"/>
      <c r="V6162" s="7"/>
      <c r="W6162" s="7"/>
      <c r="X6162" s="7"/>
      <c r="Y6162" s="7"/>
      <c r="Z6162" s="7"/>
    </row>
    <row r="6163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7"/>
      <c r="U6163" s="7"/>
      <c r="V6163" s="7"/>
      <c r="W6163" s="7"/>
      <c r="X6163" s="7"/>
      <c r="Y6163" s="7"/>
      <c r="Z6163" s="7"/>
    </row>
    <row r="6164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7"/>
      <c r="U6164" s="7"/>
      <c r="V6164" s="7"/>
      <c r="W6164" s="7"/>
      <c r="X6164" s="7"/>
      <c r="Y6164" s="7"/>
      <c r="Z6164" s="7"/>
    </row>
    <row r="616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7"/>
      <c r="U6165" s="7"/>
      <c r="V6165" s="7"/>
      <c r="W6165" s="7"/>
      <c r="X6165" s="7"/>
      <c r="Y6165" s="7"/>
      <c r="Z6165" s="7"/>
    </row>
    <row r="6166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7"/>
      <c r="U6166" s="7"/>
      <c r="V6166" s="7"/>
      <c r="W6166" s="7"/>
      <c r="X6166" s="7"/>
      <c r="Y6166" s="7"/>
      <c r="Z6166" s="7"/>
    </row>
    <row r="6167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7"/>
      <c r="U6167" s="7"/>
      <c r="V6167" s="7"/>
      <c r="W6167" s="7"/>
      <c r="X6167" s="7"/>
      <c r="Y6167" s="7"/>
      <c r="Z6167" s="7"/>
    </row>
    <row r="6168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7"/>
      <c r="U6168" s="7"/>
      <c r="V6168" s="7"/>
      <c r="W6168" s="7"/>
      <c r="X6168" s="7"/>
      <c r="Y6168" s="7"/>
      <c r="Z6168" s="7"/>
    </row>
    <row r="6169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7"/>
      <c r="U6169" s="7"/>
      <c r="V6169" s="7"/>
      <c r="W6169" s="7"/>
      <c r="X6169" s="7"/>
      <c r="Y6169" s="7"/>
      <c r="Z6169" s="7"/>
    </row>
    <row r="6170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7"/>
      <c r="U6170" s="7"/>
      <c r="V6170" s="7"/>
      <c r="W6170" s="7"/>
      <c r="X6170" s="7"/>
      <c r="Y6170" s="7"/>
      <c r="Z6170" s="7"/>
    </row>
    <row r="6171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7"/>
      <c r="U6171" s="7"/>
      <c r="V6171" s="7"/>
      <c r="W6171" s="7"/>
      <c r="X6171" s="7"/>
      <c r="Y6171" s="7"/>
      <c r="Z6171" s="7"/>
    </row>
    <row r="6172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7"/>
      <c r="U6172" s="7"/>
      <c r="V6172" s="7"/>
      <c r="W6172" s="7"/>
      <c r="X6172" s="7"/>
      <c r="Y6172" s="7"/>
      <c r="Z6172" s="7"/>
    </row>
    <row r="6173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7"/>
      <c r="U6173" s="7"/>
      <c r="V6173" s="7"/>
      <c r="W6173" s="7"/>
      <c r="X6173" s="7"/>
      <c r="Y6173" s="7"/>
      <c r="Z6173" s="7"/>
    </row>
    <row r="6174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7"/>
      <c r="U6174" s="7"/>
      <c r="V6174" s="7"/>
      <c r="W6174" s="7"/>
      <c r="X6174" s="7"/>
      <c r="Y6174" s="7"/>
      <c r="Z6174" s="7"/>
    </row>
    <row r="617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7"/>
      <c r="U6175" s="7"/>
      <c r="V6175" s="7"/>
      <c r="W6175" s="7"/>
      <c r="X6175" s="7"/>
      <c r="Y6175" s="7"/>
      <c r="Z6175" s="7"/>
    </row>
    <row r="6176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7"/>
      <c r="U6176" s="7"/>
      <c r="V6176" s="7"/>
      <c r="W6176" s="7"/>
      <c r="X6176" s="7"/>
      <c r="Y6176" s="7"/>
      <c r="Z6176" s="7"/>
    </row>
    <row r="6177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7"/>
      <c r="U6177" s="7"/>
      <c r="V6177" s="7"/>
      <c r="W6177" s="7"/>
      <c r="X6177" s="7"/>
      <c r="Y6177" s="7"/>
      <c r="Z6177" s="7"/>
    </row>
    <row r="6178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7"/>
      <c r="U6178" s="7"/>
      <c r="V6178" s="7"/>
      <c r="W6178" s="7"/>
      <c r="X6178" s="7"/>
      <c r="Y6178" s="7"/>
      <c r="Z6178" s="7"/>
    </row>
    <row r="6179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7"/>
      <c r="U6179" s="7"/>
      <c r="V6179" s="7"/>
      <c r="W6179" s="7"/>
      <c r="X6179" s="7"/>
      <c r="Y6179" s="7"/>
      <c r="Z6179" s="7"/>
    </row>
    <row r="6180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7"/>
      <c r="U6180" s="7"/>
      <c r="V6180" s="7"/>
      <c r="W6180" s="7"/>
      <c r="X6180" s="7"/>
      <c r="Y6180" s="7"/>
      <c r="Z6180" s="7"/>
    </row>
    <row r="6181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7"/>
      <c r="U6181" s="7"/>
      <c r="V6181" s="7"/>
      <c r="W6181" s="7"/>
      <c r="X6181" s="7"/>
      <c r="Y6181" s="7"/>
      <c r="Z6181" s="7"/>
    </row>
    <row r="6182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7"/>
      <c r="U6182" s="7"/>
      <c r="V6182" s="7"/>
      <c r="W6182" s="7"/>
      <c r="X6182" s="7"/>
      <c r="Y6182" s="7"/>
      <c r="Z6182" s="7"/>
    </row>
    <row r="6183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7"/>
      <c r="U6183" s="7"/>
      <c r="V6183" s="7"/>
      <c r="W6183" s="7"/>
      <c r="X6183" s="7"/>
      <c r="Y6183" s="7"/>
      <c r="Z6183" s="7"/>
    </row>
    <row r="6184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7"/>
      <c r="U6184" s="7"/>
      <c r="V6184" s="7"/>
      <c r="W6184" s="7"/>
      <c r="X6184" s="7"/>
      <c r="Y6184" s="7"/>
      <c r="Z6184" s="7"/>
    </row>
    <row r="618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7"/>
      <c r="U6185" s="7"/>
      <c r="V6185" s="7"/>
      <c r="W6185" s="7"/>
      <c r="X6185" s="7"/>
      <c r="Y6185" s="7"/>
      <c r="Z6185" s="7"/>
    </row>
    <row r="6186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7"/>
      <c r="U6186" s="7"/>
      <c r="V6186" s="7"/>
      <c r="W6186" s="7"/>
      <c r="X6186" s="7"/>
      <c r="Y6186" s="7"/>
      <c r="Z6186" s="7"/>
    </row>
    <row r="6187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7"/>
      <c r="U6187" s="7"/>
      <c r="V6187" s="7"/>
      <c r="W6187" s="7"/>
      <c r="X6187" s="7"/>
      <c r="Y6187" s="7"/>
      <c r="Z6187" s="7"/>
    </row>
    <row r="6188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7"/>
      <c r="U6188" s="7"/>
      <c r="V6188" s="7"/>
      <c r="W6188" s="7"/>
      <c r="X6188" s="7"/>
      <c r="Y6188" s="7"/>
      <c r="Z6188" s="7"/>
    </row>
    <row r="6189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7"/>
      <c r="U6189" s="7"/>
      <c r="V6189" s="7"/>
      <c r="W6189" s="7"/>
      <c r="X6189" s="7"/>
      <c r="Y6189" s="7"/>
      <c r="Z6189" s="7"/>
    </row>
    <row r="6190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7"/>
      <c r="U6190" s="7"/>
      <c r="V6190" s="7"/>
      <c r="W6190" s="7"/>
      <c r="X6190" s="7"/>
      <c r="Y6190" s="7"/>
      <c r="Z6190" s="7"/>
    </row>
    <row r="6191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7"/>
      <c r="U6191" s="7"/>
      <c r="V6191" s="7"/>
      <c r="W6191" s="7"/>
      <c r="X6191" s="7"/>
      <c r="Y6191" s="7"/>
      <c r="Z6191" s="7"/>
    </row>
    <row r="6192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7"/>
      <c r="U6192" s="7"/>
      <c r="V6192" s="7"/>
      <c r="W6192" s="7"/>
      <c r="X6192" s="7"/>
      <c r="Y6192" s="7"/>
      <c r="Z6192" s="7"/>
    </row>
    <row r="6193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7"/>
      <c r="U6193" s="7"/>
      <c r="V6193" s="7"/>
      <c r="W6193" s="7"/>
      <c r="X6193" s="7"/>
      <c r="Y6193" s="7"/>
      <c r="Z6193" s="7"/>
    </row>
    <row r="6194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7"/>
      <c r="U6194" s="7"/>
      <c r="V6194" s="7"/>
      <c r="W6194" s="7"/>
      <c r="X6194" s="7"/>
      <c r="Y6194" s="7"/>
      <c r="Z6194" s="7"/>
    </row>
    <row r="619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7"/>
      <c r="U6195" s="7"/>
      <c r="V6195" s="7"/>
      <c r="W6195" s="7"/>
      <c r="X6195" s="7"/>
      <c r="Y6195" s="7"/>
      <c r="Z6195" s="7"/>
    </row>
    <row r="6196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7"/>
      <c r="U6196" s="7"/>
      <c r="V6196" s="7"/>
      <c r="W6196" s="7"/>
      <c r="X6196" s="7"/>
      <c r="Y6196" s="7"/>
      <c r="Z6196" s="7"/>
    </row>
    <row r="6197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7"/>
      <c r="U6197" s="7"/>
      <c r="V6197" s="7"/>
      <c r="W6197" s="7"/>
      <c r="X6197" s="7"/>
      <c r="Y6197" s="7"/>
      <c r="Z6197" s="7"/>
    </row>
    <row r="6198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7"/>
      <c r="U6198" s="7"/>
      <c r="V6198" s="7"/>
      <c r="W6198" s="7"/>
      <c r="X6198" s="7"/>
      <c r="Y6198" s="7"/>
      <c r="Z6198" s="7"/>
    </row>
    <row r="6199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7"/>
      <c r="U6199" s="7"/>
      <c r="V6199" s="7"/>
      <c r="W6199" s="7"/>
      <c r="X6199" s="7"/>
      <c r="Y6199" s="7"/>
      <c r="Z6199" s="7"/>
    </row>
    <row r="6200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7"/>
      <c r="U6200" s="7"/>
      <c r="V6200" s="7"/>
      <c r="W6200" s="7"/>
      <c r="X6200" s="7"/>
      <c r="Y6200" s="7"/>
      <c r="Z6200" s="7"/>
    </row>
    <row r="6201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7"/>
      <c r="U6201" s="7"/>
      <c r="V6201" s="7"/>
      <c r="W6201" s="7"/>
      <c r="X6201" s="7"/>
      <c r="Y6201" s="7"/>
      <c r="Z6201" s="7"/>
    </row>
    <row r="6202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7"/>
      <c r="U6202" s="7"/>
      <c r="V6202" s="7"/>
      <c r="W6202" s="7"/>
      <c r="X6202" s="7"/>
      <c r="Y6202" s="7"/>
      <c r="Z6202" s="7"/>
    </row>
    <row r="6203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7"/>
      <c r="U6203" s="7"/>
      <c r="V6203" s="7"/>
      <c r="W6203" s="7"/>
      <c r="X6203" s="7"/>
      <c r="Y6203" s="7"/>
      <c r="Z6203" s="7"/>
    </row>
    <row r="6204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7"/>
      <c r="U6204" s="7"/>
      <c r="V6204" s="7"/>
      <c r="W6204" s="7"/>
      <c r="X6204" s="7"/>
      <c r="Y6204" s="7"/>
      <c r="Z6204" s="7"/>
    </row>
    <row r="620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7"/>
      <c r="U6205" s="7"/>
      <c r="V6205" s="7"/>
      <c r="W6205" s="7"/>
      <c r="X6205" s="7"/>
      <c r="Y6205" s="7"/>
      <c r="Z6205" s="7"/>
    </row>
    <row r="6206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7"/>
      <c r="U6206" s="7"/>
      <c r="V6206" s="7"/>
      <c r="W6206" s="7"/>
      <c r="X6206" s="7"/>
      <c r="Y6206" s="7"/>
      <c r="Z6206" s="7"/>
    </row>
    <row r="6207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7"/>
      <c r="U6207" s="7"/>
      <c r="V6207" s="7"/>
      <c r="W6207" s="7"/>
      <c r="X6207" s="7"/>
      <c r="Y6207" s="7"/>
      <c r="Z6207" s="7"/>
    </row>
    <row r="6208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7"/>
      <c r="U6208" s="7"/>
      <c r="V6208" s="7"/>
      <c r="W6208" s="7"/>
      <c r="X6208" s="7"/>
      <c r="Y6208" s="7"/>
      <c r="Z6208" s="7"/>
    </row>
    <row r="6209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7"/>
      <c r="U6209" s="7"/>
      <c r="V6209" s="7"/>
      <c r="W6209" s="7"/>
      <c r="X6209" s="7"/>
      <c r="Y6209" s="7"/>
      <c r="Z6209" s="7"/>
    </row>
    <row r="6210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7"/>
      <c r="U6210" s="7"/>
      <c r="V6210" s="7"/>
      <c r="W6210" s="7"/>
      <c r="X6210" s="7"/>
      <c r="Y6210" s="7"/>
      <c r="Z6210" s="7"/>
    </row>
    <row r="6211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7"/>
      <c r="U6211" s="7"/>
      <c r="V6211" s="7"/>
      <c r="W6211" s="7"/>
      <c r="X6211" s="7"/>
      <c r="Y6211" s="7"/>
      <c r="Z6211" s="7"/>
    </row>
    <row r="6212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7"/>
      <c r="U6212" s="7"/>
      <c r="V6212" s="7"/>
      <c r="W6212" s="7"/>
      <c r="X6212" s="7"/>
      <c r="Y6212" s="7"/>
      <c r="Z6212" s="7"/>
    </row>
    <row r="6213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7"/>
      <c r="U6213" s="7"/>
      <c r="V6213" s="7"/>
      <c r="W6213" s="7"/>
      <c r="X6213" s="7"/>
      <c r="Y6213" s="7"/>
      <c r="Z6213" s="7"/>
    </row>
    <row r="6214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7"/>
      <c r="U6214" s="7"/>
      <c r="V6214" s="7"/>
      <c r="W6214" s="7"/>
      <c r="X6214" s="7"/>
      <c r="Y6214" s="7"/>
      <c r="Z6214" s="7"/>
    </row>
    <row r="621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7"/>
      <c r="U6215" s="7"/>
      <c r="V6215" s="7"/>
      <c r="W6215" s="7"/>
      <c r="X6215" s="7"/>
      <c r="Y6215" s="7"/>
      <c r="Z6215" s="7"/>
    </row>
    <row r="6216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7"/>
      <c r="U6216" s="7"/>
      <c r="V6216" s="7"/>
      <c r="W6216" s="7"/>
      <c r="X6216" s="7"/>
      <c r="Y6216" s="7"/>
      <c r="Z6216" s="7"/>
    </row>
    <row r="6217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7"/>
      <c r="U6217" s="7"/>
      <c r="V6217" s="7"/>
      <c r="W6217" s="7"/>
      <c r="X6217" s="7"/>
      <c r="Y6217" s="7"/>
      <c r="Z6217" s="7"/>
    </row>
    <row r="6218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7"/>
      <c r="U6218" s="7"/>
      <c r="V6218" s="7"/>
      <c r="W6218" s="7"/>
      <c r="X6218" s="7"/>
      <c r="Y6218" s="7"/>
      <c r="Z6218" s="7"/>
    </row>
    <row r="6219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7"/>
      <c r="U6219" s="7"/>
      <c r="V6219" s="7"/>
      <c r="W6219" s="7"/>
      <c r="X6219" s="7"/>
      <c r="Y6219" s="7"/>
      <c r="Z6219" s="7"/>
    </row>
    <row r="6220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7"/>
      <c r="U6220" s="7"/>
      <c r="V6220" s="7"/>
      <c r="W6220" s="7"/>
      <c r="X6220" s="7"/>
      <c r="Y6220" s="7"/>
      <c r="Z6220" s="7"/>
    </row>
    <row r="6221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7"/>
      <c r="U6221" s="7"/>
      <c r="V6221" s="7"/>
      <c r="W6221" s="7"/>
      <c r="X6221" s="7"/>
      <c r="Y6221" s="7"/>
      <c r="Z6221" s="7"/>
    </row>
    <row r="6222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7"/>
      <c r="U6222" s="7"/>
      <c r="V6222" s="7"/>
      <c r="W6222" s="7"/>
      <c r="X6222" s="7"/>
      <c r="Y6222" s="7"/>
      <c r="Z6222" s="7"/>
    </row>
    <row r="6223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7"/>
      <c r="U6223" s="7"/>
      <c r="V6223" s="7"/>
      <c r="W6223" s="7"/>
      <c r="X6223" s="7"/>
      <c r="Y6223" s="7"/>
      <c r="Z6223" s="7"/>
    </row>
    <row r="6224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7"/>
      <c r="U6224" s="7"/>
      <c r="V6224" s="7"/>
      <c r="W6224" s="7"/>
      <c r="X6224" s="7"/>
      <c r="Y6224" s="7"/>
      <c r="Z6224" s="7"/>
    </row>
    <row r="62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7"/>
      <c r="U6225" s="7"/>
      <c r="V6225" s="7"/>
      <c r="W6225" s="7"/>
      <c r="X6225" s="7"/>
      <c r="Y6225" s="7"/>
      <c r="Z6225" s="7"/>
    </row>
    <row r="6226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7"/>
      <c r="U6226" s="7"/>
      <c r="V6226" s="7"/>
      <c r="W6226" s="7"/>
      <c r="X6226" s="7"/>
      <c r="Y6226" s="7"/>
      <c r="Z6226" s="7"/>
    </row>
    <row r="6227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7"/>
      <c r="U6227" s="7"/>
      <c r="V6227" s="7"/>
      <c r="W6227" s="7"/>
      <c r="X6227" s="7"/>
      <c r="Y6227" s="7"/>
      <c r="Z6227" s="7"/>
    </row>
    <row r="6228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7"/>
      <c r="U6228" s="7"/>
      <c r="V6228" s="7"/>
      <c r="W6228" s="7"/>
      <c r="X6228" s="7"/>
      <c r="Y6228" s="7"/>
      <c r="Z6228" s="7"/>
    </row>
    <row r="6229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7"/>
      <c r="U6229" s="7"/>
      <c r="V6229" s="7"/>
      <c r="W6229" s="7"/>
      <c r="X6229" s="7"/>
      <c r="Y6229" s="7"/>
      <c r="Z6229" s="7"/>
    </row>
    <row r="6230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7"/>
      <c r="U6230" s="7"/>
      <c r="V6230" s="7"/>
      <c r="W6230" s="7"/>
      <c r="X6230" s="7"/>
      <c r="Y6230" s="7"/>
      <c r="Z6230" s="7"/>
    </row>
    <row r="6231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7"/>
      <c r="U6231" s="7"/>
      <c r="V6231" s="7"/>
      <c r="W6231" s="7"/>
      <c r="X6231" s="7"/>
      <c r="Y6231" s="7"/>
      <c r="Z6231" s="7"/>
    </row>
    <row r="6232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7"/>
      <c r="U6232" s="7"/>
      <c r="V6232" s="7"/>
      <c r="W6232" s="7"/>
      <c r="X6232" s="7"/>
      <c r="Y6232" s="7"/>
      <c r="Z6232" s="7"/>
    </row>
    <row r="6233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7"/>
      <c r="U6233" s="7"/>
      <c r="V6233" s="7"/>
      <c r="W6233" s="7"/>
      <c r="X6233" s="7"/>
      <c r="Y6233" s="7"/>
      <c r="Z6233" s="7"/>
    </row>
    <row r="6234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7"/>
      <c r="U6234" s="7"/>
      <c r="V6234" s="7"/>
      <c r="W6234" s="7"/>
      <c r="X6234" s="7"/>
      <c r="Y6234" s="7"/>
      <c r="Z6234" s="7"/>
    </row>
    <row r="623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7"/>
      <c r="U6235" s="7"/>
      <c r="V6235" s="7"/>
      <c r="W6235" s="7"/>
      <c r="X6235" s="7"/>
      <c r="Y6235" s="7"/>
      <c r="Z6235" s="7"/>
    </row>
    <row r="6236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7"/>
      <c r="U6236" s="7"/>
      <c r="V6236" s="7"/>
      <c r="W6236" s="7"/>
      <c r="X6236" s="7"/>
      <c r="Y6236" s="7"/>
      <c r="Z6236" s="7"/>
    </row>
    <row r="6237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7"/>
      <c r="U6237" s="7"/>
      <c r="V6237" s="7"/>
      <c r="W6237" s="7"/>
      <c r="X6237" s="7"/>
      <c r="Y6237" s="7"/>
      <c r="Z6237" s="7"/>
    </row>
    <row r="6238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7"/>
      <c r="U6238" s="7"/>
      <c r="V6238" s="7"/>
      <c r="W6238" s="7"/>
      <c r="X6238" s="7"/>
      <c r="Y6238" s="7"/>
      <c r="Z6238" s="7"/>
    </row>
    <row r="6239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7"/>
      <c r="U6239" s="7"/>
      <c r="V6239" s="7"/>
      <c r="W6239" s="7"/>
      <c r="X6239" s="7"/>
      <c r="Y6239" s="7"/>
      <c r="Z6239" s="7"/>
    </row>
    <row r="6240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7"/>
      <c r="U6240" s="7"/>
      <c r="V6240" s="7"/>
      <c r="W6240" s="7"/>
      <c r="X6240" s="7"/>
      <c r="Y6240" s="7"/>
      <c r="Z6240" s="7"/>
    </row>
    <row r="6241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7"/>
      <c r="U6241" s="7"/>
      <c r="V6241" s="7"/>
      <c r="W6241" s="7"/>
      <c r="X6241" s="7"/>
      <c r="Y6241" s="7"/>
      <c r="Z6241" s="7"/>
    </row>
    <row r="6242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7"/>
      <c r="U6242" s="7"/>
      <c r="V6242" s="7"/>
      <c r="W6242" s="7"/>
      <c r="X6242" s="7"/>
      <c r="Y6242" s="7"/>
      <c r="Z6242" s="7"/>
    </row>
    <row r="6243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7"/>
      <c r="U6243" s="7"/>
      <c r="V6243" s="7"/>
      <c r="W6243" s="7"/>
      <c r="X6243" s="7"/>
      <c r="Y6243" s="7"/>
      <c r="Z6243" s="7"/>
    </row>
    <row r="6244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7"/>
      <c r="U6244" s="7"/>
      <c r="V6244" s="7"/>
      <c r="W6244" s="7"/>
      <c r="X6244" s="7"/>
      <c r="Y6244" s="7"/>
      <c r="Z6244" s="7"/>
    </row>
    <row r="624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7"/>
      <c r="U6245" s="7"/>
      <c r="V6245" s="7"/>
      <c r="W6245" s="7"/>
      <c r="X6245" s="7"/>
      <c r="Y6245" s="7"/>
      <c r="Z6245" s="7"/>
    </row>
    <row r="6246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7"/>
      <c r="U6246" s="7"/>
      <c r="V6246" s="7"/>
      <c r="W6246" s="7"/>
      <c r="X6246" s="7"/>
      <c r="Y6246" s="7"/>
      <c r="Z6246" s="7"/>
    </row>
    <row r="6247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7"/>
      <c r="U6247" s="7"/>
      <c r="V6247" s="7"/>
      <c r="W6247" s="7"/>
      <c r="X6247" s="7"/>
      <c r="Y6247" s="7"/>
      <c r="Z6247" s="7"/>
    </row>
    <row r="6248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7"/>
      <c r="U6248" s="7"/>
      <c r="V6248" s="7"/>
      <c r="W6248" s="7"/>
      <c r="X6248" s="7"/>
      <c r="Y6248" s="7"/>
      <c r="Z6248" s="7"/>
    </row>
    <row r="6249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7"/>
      <c r="U6249" s="7"/>
      <c r="V6249" s="7"/>
      <c r="W6249" s="7"/>
      <c r="X6249" s="7"/>
      <c r="Y6249" s="7"/>
      <c r="Z6249" s="7"/>
    </row>
    <row r="6250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7"/>
      <c r="U6250" s="7"/>
      <c r="V6250" s="7"/>
      <c r="W6250" s="7"/>
      <c r="X6250" s="7"/>
      <c r="Y6250" s="7"/>
      <c r="Z6250" s="7"/>
    </row>
    <row r="6251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7"/>
      <c r="U6251" s="7"/>
      <c r="V6251" s="7"/>
      <c r="W6251" s="7"/>
      <c r="X6251" s="7"/>
      <c r="Y6251" s="7"/>
      <c r="Z6251" s="7"/>
    </row>
    <row r="6252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7"/>
      <c r="U6252" s="7"/>
      <c r="V6252" s="7"/>
      <c r="W6252" s="7"/>
      <c r="X6252" s="7"/>
      <c r="Y6252" s="7"/>
      <c r="Z6252" s="7"/>
    </row>
    <row r="6253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7"/>
      <c r="U6253" s="7"/>
      <c r="V6253" s="7"/>
      <c r="W6253" s="7"/>
      <c r="X6253" s="7"/>
      <c r="Y6253" s="7"/>
      <c r="Z6253" s="7"/>
    </row>
    <row r="6254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7"/>
      <c r="U6254" s="7"/>
      <c r="V6254" s="7"/>
      <c r="W6254" s="7"/>
      <c r="X6254" s="7"/>
      <c r="Y6254" s="7"/>
      <c r="Z6254" s="7"/>
    </row>
    <row r="625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7"/>
      <c r="U6255" s="7"/>
      <c r="V6255" s="7"/>
      <c r="W6255" s="7"/>
      <c r="X6255" s="7"/>
      <c r="Y6255" s="7"/>
      <c r="Z6255" s="7"/>
    </row>
    <row r="6256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7"/>
      <c r="U6256" s="7"/>
      <c r="V6256" s="7"/>
      <c r="W6256" s="7"/>
      <c r="X6256" s="7"/>
      <c r="Y6256" s="7"/>
      <c r="Z6256" s="7"/>
    </row>
    <row r="6257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7"/>
      <c r="U6257" s="7"/>
      <c r="V6257" s="7"/>
      <c r="W6257" s="7"/>
      <c r="X6257" s="7"/>
      <c r="Y6257" s="7"/>
      <c r="Z6257" s="7"/>
    </row>
    <row r="6258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7"/>
      <c r="U6258" s="7"/>
      <c r="V6258" s="7"/>
      <c r="W6258" s="7"/>
      <c r="X6258" s="7"/>
      <c r="Y6258" s="7"/>
      <c r="Z6258" s="7"/>
    </row>
    <row r="6259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7"/>
      <c r="U6259" s="7"/>
      <c r="V6259" s="7"/>
      <c r="W6259" s="7"/>
      <c r="X6259" s="7"/>
      <c r="Y6259" s="7"/>
      <c r="Z6259" s="7"/>
    </row>
    <row r="6260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7"/>
      <c r="U6260" s="7"/>
      <c r="V6260" s="7"/>
      <c r="W6260" s="7"/>
      <c r="X6260" s="7"/>
      <c r="Y6260" s="7"/>
      <c r="Z6260" s="7"/>
    </row>
    <row r="6261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7"/>
      <c r="U6261" s="7"/>
      <c r="V6261" s="7"/>
      <c r="W6261" s="7"/>
      <c r="X6261" s="7"/>
      <c r="Y6261" s="7"/>
      <c r="Z6261" s="7"/>
    </row>
    <row r="6262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7"/>
      <c r="U6262" s="7"/>
      <c r="V6262" s="7"/>
      <c r="W6262" s="7"/>
      <c r="X6262" s="7"/>
      <c r="Y6262" s="7"/>
      <c r="Z6262" s="7"/>
    </row>
    <row r="6263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7"/>
      <c r="U6263" s="7"/>
      <c r="V6263" s="7"/>
      <c r="W6263" s="7"/>
      <c r="X6263" s="7"/>
      <c r="Y6263" s="7"/>
      <c r="Z6263" s="7"/>
    </row>
    <row r="6264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7"/>
      <c r="U6264" s="7"/>
      <c r="V6264" s="7"/>
      <c r="W6264" s="7"/>
      <c r="X6264" s="7"/>
      <c r="Y6264" s="7"/>
      <c r="Z6264" s="7"/>
    </row>
    <row r="626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7"/>
      <c r="U6265" s="7"/>
      <c r="V6265" s="7"/>
      <c r="W6265" s="7"/>
      <c r="X6265" s="7"/>
      <c r="Y6265" s="7"/>
      <c r="Z6265" s="7"/>
    </row>
    <row r="6266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7"/>
      <c r="U6266" s="7"/>
      <c r="V6266" s="7"/>
      <c r="W6266" s="7"/>
      <c r="X6266" s="7"/>
      <c r="Y6266" s="7"/>
      <c r="Z6266" s="7"/>
    </row>
    <row r="6267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7"/>
      <c r="U6267" s="7"/>
      <c r="V6267" s="7"/>
      <c r="W6267" s="7"/>
      <c r="X6267" s="7"/>
      <c r="Y6267" s="7"/>
      <c r="Z6267" s="7"/>
    </row>
    <row r="6268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7"/>
      <c r="U6268" s="7"/>
      <c r="V6268" s="7"/>
      <c r="W6268" s="7"/>
      <c r="X6268" s="7"/>
      <c r="Y6268" s="7"/>
      <c r="Z6268" s="7"/>
    </row>
    <row r="6269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7"/>
      <c r="U6269" s="7"/>
      <c r="V6269" s="7"/>
      <c r="W6269" s="7"/>
      <c r="X6269" s="7"/>
      <c r="Y6269" s="7"/>
      <c r="Z6269" s="7"/>
    </row>
    <row r="6270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7"/>
      <c r="U6270" s="7"/>
      <c r="V6270" s="7"/>
      <c r="W6270" s="7"/>
      <c r="X6270" s="7"/>
      <c r="Y6270" s="7"/>
      <c r="Z6270" s="7"/>
    </row>
    <row r="6271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7"/>
      <c r="U6271" s="7"/>
      <c r="V6271" s="7"/>
      <c r="W6271" s="7"/>
      <c r="X6271" s="7"/>
      <c r="Y6271" s="7"/>
      <c r="Z6271" s="7"/>
    </row>
    <row r="6272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7"/>
      <c r="U6272" s="7"/>
      <c r="V6272" s="7"/>
      <c r="W6272" s="7"/>
      <c r="X6272" s="7"/>
      <c r="Y6272" s="7"/>
      <c r="Z6272" s="7"/>
    </row>
    <row r="6273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7"/>
      <c r="U6273" s="7"/>
      <c r="V6273" s="7"/>
      <c r="W6273" s="7"/>
      <c r="X6273" s="7"/>
      <c r="Y6273" s="7"/>
      <c r="Z6273" s="7"/>
    </row>
    <row r="6274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7"/>
      <c r="U6274" s="7"/>
      <c r="V6274" s="7"/>
      <c r="W6274" s="7"/>
      <c r="X6274" s="7"/>
      <c r="Y6274" s="7"/>
      <c r="Z6274" s="7"/>
    </row>
    <row r="627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7"/>
      <c r="U6275" s="7"/>
      <c r="V6275" s="7"/>
      <c r="W6275" s="7"/>
      <c r="X6275" s="7"/>
      <c r="Y6275" s="7"/>
      <c r="Z6275" s="7"/>
    </row>
    <row r="6276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7"/>
      <c r="U6276" s="7"/>
      <c r="V6276" s="7"/>
      <c r="W6276" s="7"/>
      <c r="X6276" s="7"/>
      <c r="Y6276" s="7"/>
      <c r="Z6276" s="7"/>
    </row>
    <row r="6277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7"/>
      <c r="U6277" s="7"/>
      <c r="V6277" s="7"/>
      <c r="W6277" s="7"/>
      <c r="X6277" s="7"/>
      <c r="Y6277" s="7"/>
      <c r="Z6277" s="7"/>
    </row>
    <row r="6278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7"/>
      <c r="U6278" s="7"/>
      <c r="V6278" s="7"/>
      <c r="W6278" s="7"/>
      <c r="X6278" s="7"/>
      <c r="Y6278" s="7"/>
      <c r="Z6278" s="7"/>
    </row>
    <row r="6279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7"/>
      <c r="U6279" s="7"/>
      <c r="V6279" s="7"/>
      <c r="W6279" s="7"/>
      <c r="X6279" s="7"/>
      <c r="Y6279" s="7"/>
      <c r="Z6279" s="7"/>
    </row>
    <row r="6280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7"/>
      <c r="U6280" s="7"/>
      <c r="V6280" s="7"/>
      <c r="W6280" s="7"/>
      <c r="X6280" s="7"/>
      <c r="Y6280" s="7"/>
      <c r="Z6280" s="7"/>
    </row>
    <row r="6281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7"/>
      <c r="U6281" s="7"/>
      <c r="V6281" s="7"/>
      <c r="W6281" s="7"/>
      <c r="X6281" s="7"/>
      <c r="Y6281" s="7"/>
      <c r="Z6281" s="7"/>
    </row>
    <row r="6282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7"/>
      <c r="U6282" s="7"/>
      <c r="V6282" s="7"/>
      <c r="W6282" s="7"/>
      <c r="X6282" s="7"/>
      <c r="Y6282" s="7"/>
      <c r="Z6282" s="7"/>
    </row>
    <row r="6283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7"/>
      <c r="U6283" s="7"/>
      <c r="V6283" s="7"/>
      <c r="W6283" s="7"/>
      <c r="X6283" s="7"/>
      <c r="Y6283" s="7"/>
      <c r="Z6283" s="7"/>
    </row>
    <row r="6284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7"/>
      <c r="U6284" s="7"/>
      <c r="V6284" s="7"/>
      <c r="W6284" s="7"/>
      <c r="X6284" s="7"/>
      <c r="Y6284" s="7"/>
      <c r="Z6284" s="7"/>
    </row>
    <row r="628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7"/>
      <c r="U6285" s="7"/>
      <c r="V6285" s="7"/>
      <c r="W6285" s="7"/>
      <c r="X6285" s="7"/>
      <c r="Y6285" s="7"/>
      <c r="Z6285" s="7"/>
    </row>
    <row r="6286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7"/>
      <c r="U6286" s="7"/>
      <c r="V6286" s="7"/>
      <c r="W6286" s="7"/>
      <c r="X6286" s="7"/>
      <c r="Y6286" s="7"/>
      <c r="Z6286" s="7"/>
    </row>
    <row r="6287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7"/>
      <c r="U6287" s="7"/>
      <c r="V6287" s="7"/>
      <c r="W6287" s="7"/>
      <c r="X6287" s="7"/>
      <c r="Y6287" s="7"/>
      <c r="Z6287" s="7"/>
    </row>
    <row r="6288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7"/>
      <c r="U6288" s="7"/>
      <c r="V6288" s="7"/>
      <c r="W6288" s="7"/>
      <c r="X6288" s="7"/>
      <c r="Y6288" s="7"/>
      <c r="Z6288" s="7"/>
    </row>
    <row r="6289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7"/>
      <c r="U6289" s="7"/>
      <c r="V6289" s="7"/>
      <c r="W6289" s="7"/>
      <c r="X6289" s="7"/>
      <c r="Y6289" s="7"/>
      <c r="Z6289" s="7"/>
    </row>
    <row r="6290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7"/>
      <c r="U6290" s="7"/>
      <c r="V6290" s="7"/>
      <c r="W6290" s="7"/>
      <c r="X6290" s="7"/>
      <c r="Y6290" s="7"/>
      <c r="Z6290" s="7"/>
    </row>
    <row r="6291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7"/>
      <c r="U6291" s="7"/>
      <c r="V6291" s="7"/>
      <c r="W6291" s="7"/>
      <c r="X6291" s="7"/>
      <c r="Y6291" s="7"/>
      <c r="Z6291" s="7"/>
    </row>
    <row r="6292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7"/>
      <c r="U6292" s="7"/>
      <c r="V6292" s="7"/>
      <c r="W6292" s="7"/>
      <c r="X6292" s="7"/>
      <c r="Y6292" s="7"/>
      <c r="Z6292" s="7"/>
    </row>
    <row r="6293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7"/>
      <c r="U6293" s="7"/>
      <c r="V6293" s="7"/>
      <c r="W6293" s="7"/>
      <c r="X6293" s="7"/>
      <c r="Y6293" s="7"/>
      <c r="Z6293" s="7"/>
    </row>
    <row r="6294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7"/>
      <c r="U6294" s="7"/>
      <c r="V6294" s="7"/>
      <c r="W6294" s="7"/>
      <c r="X6294" s="7"/>
      <c r="Y6294" s="7"/>
      <c r="Z6294" s="7"/>
    </row>
    <row r="629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7"/>
      <c r="U6295" s="7"/>
      <c r="V6295" s="7"/>
      <c r="W6295" s="7"/>
      <c r="X6295" s="7"/>
      <c r="Y6295" s="7"/>
      <c r="Z6295" s="7"/>
    </row>
    <row r="6296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7"/>
      <c r="U6296" s="7"/>
      <c r="V6296" s="7"/>
      <c r="W6296" s="7"/>
      <c r="X6296" s="7"/>
      <c r="Y6296" s="7"/>
      <c r="Z6296" s="7"/>
    </row>
    <row r="6297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7"/>
      <c r="U6297" s="7"/>
      <c r="V6297" s="7"/>
      <c r="W6297" s="7"/>
      <c r="X6297" s="7"/>
      <c r="Y6297" s="7"/>
      <c r="Z6297" s="7"/>
    </row>
    <row r="6298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7"/>
      <c r="U6298" s="7"/>
      <c r="V6298" s="7"/>
      <c r="W6298" s="7"/>
      <c r="X6298" s="7"/>
      <c r="Y6298" s="7"/>
      <c r="Z6298" s="7"/>
    </row>
    <row r="6299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7"/>
      <c r="U6299" s="7"/>
      <c r="V6299" s="7"/>
      <c r="W6299" s="7"/>
      <c r="X6299" s="7"/>
      <c r="Y6299" s="7"/>
      <c r="Z6299" s="7"/>
    </row>
    <row r="6300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7"/>
      <c r="U6300" s="7"/>
      <c r="V6300" s="7"/>
      <c r="W6300" s="7"/>
      <c r="X6300" s="7"/>
      <c r="Y6300" s="7"/>
      <c r="Z6300" s="7"/>
    </row>
    <row r="6301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7"/>
      <c r="U6301" s="7"/>
      <c r="V6301" s="7"/>
      <c r="W6301" s="7"/>
      <c r="X6301" s="7"/>
      <c r="Y6301" s="7"/>
      <c r="Z6301" s="7"/>
    </row>
    <row r="6302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7"/>
      <c r="U6302" s="7"/>
      <c r="V6302" s="7"/>
      <c r="W6302" s="7"/>
      <c r="X6302" s="7"/>
      <c r="Y6302" s="7"/>
      <c r="Z6302" s="7"/>
    </row>
    <row r="6303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7"/>
      <c r="U6303" s="7"/>
      <c r="V6303" s="7"/>
      <c r="W6303" s="7"/>
      <c r="X6303" s="7"/>
      <c r="Y6303" s="7"/>
      <c r="Z6303" s="7"/>
    </row>
    <row r="6304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7"/>
      <c r="U6304" s="7"/>
      <c r="V6304" s="7"/>
      <c r="W6304" s="7"/>
      <c r="X6304" s="7"/>
      <c r="Y6304" s="7"/>
      <c r="Z6304" s="7"/>
    </row>
    <row r="630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7"/>
      <c r="U6305" s="7"/>
      <c r="V6305" s="7"/>
      <c r="W6305" s="7"/>
      <c r="X6305" s="7"/>
      <c r="Y6305" s="7"/>
      <c r="Z6305" s="7"/>
    </row>
    <row r="6306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7"/>
      <c r="U6306" s="7"/>
      <c r="V6306" s="7"/>
      <c r="W6306" s="7"/>
      <c r="X6306" s="7"/>
      <c r="Y6306" s="7"/>
      <c r="Z6306" s="7"/>
    </row>
    <row r="6307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7"/>
      <c r="U6307" s="7"/>
      <c r="V6307" s="7"/>
      <c r="W6307" s="7"/>
      <c r="X6307" s="7"/>
      <c r="Y6307" s="7"/>
      <c r="Z6307" s="7"/>
    </row>
    <row r="6308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7"/>
      <c r="U6308" s="7"/>
      <c r="V6308" s="7"/>
      <c r="W6308" s="7"/>
      <c r="X6308" s="7"/>
      <c r="Y6308" s="7"/>
      <c r="Z6308" s="7"/>
    </row>
    <row r="6309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7"/>
      <c r="U6309" s="7"/>
      <c r="V6309" s="7"/>
      <c r="W6309" s="7"/>
      <c r="X6309" s="7"/>
      <c r="Y6309" s="7"/>
      <c r="Z6309" s="7"/>
    </row>
    <row r="6310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7"/>
      <c r="U6310" s="7"/>
      <c r="V6310" s="7"/>
      <c r="W6310" s="7"/>
      <c r="X6310" s="7"/>
      <c r="Y6310" s="7"/>
      <c r="Z6310" s="7"/>
    </row>
    <row r="6311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7"/>
      <c r="U6311" s="7"/>
      <c r="V6311" s="7"/>
      <c r="W6311" s="7"/>
      <c r="X6311" s="7"/>
      <c r="Y6311" s="7"/>
      <c r="Z6311" s="7"/>
    </row>
    <row r="6312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7"/>
      <c r="U6312" s="7"/>
      <c r="V6312" s="7"/>
      <c r="W6312" s="7"/>
      <c r="X6312" s="7"/>
      <c r="Y6312" s="7"/>
      <c r="Z6312" s="7"/>
    </row>
    <row r="6313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7"/>
      <c r="U6313" s="7"/>
      <c r="V6313" s="7"/>
      <c r="W6313" s="7"/>
      <c r="X6313" s="7"/>
      <c r="Y6313" s="7"/>
      <c r="Z6313" s="7"/>
    </row>
    <row r="6314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7"/>
      <c r="U6314" s="7"/>
      <c r="V6314" s="7"/>
      <c r="W6314" s="7"/>
      <c r="X6314" s="7"/>
      <c r="Y6314" s="7"/>
      <c r="Z6314" s="7"/>
    </row>
    <row r="631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7"/>
      <c r="U6315" s="7"/>
      <c r="V6315" s="7"/>
      <c r="W6315" s="7"/>
      <c r="X6315" s="7"/>
      <c r="Y6315" s="7"/>
      <c r="Z6315" s="7"/>
    </row>
    <row r="6316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7"/>
      <c r="U6316" s="7"/>
      <c r="V6316" s="7"/>
      <c r="W6316" s="7"/>
      <c r="X6316" s="7"/>
      <c r="Y6316" s="7"/>
      <c r="Z6316" s="7"/>
    </row>
    <row r="6317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7"/>
      <c r="U6317" s="7"/>
      <c r="V6317" s="7"/>
      <c r="W6317" s="7"/>
      <c r="X6317" s="7"/>
      <c r="Y6317" s="7"/>
      <c r="Z6317" s="7"/>
    </row>
    <row r="6318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7"/>
      <c r="U6318" s="7"/>
      <c r="V6318" s="7"/>
      <c r="W6318" s="7"/>
      <c r="X6318" s="7"/>
      <c r="Y6318" s="7"/>
      <c r="Z6318" s="7"/>
    </row>
    <row r="6319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7"/>
      <c r="U6319" s="7"/>
      <c r="V6319" s="7"/>
      <c r="W6319" s="7"/>
      <c r="X6319" s="7"/>
      <c r="Y6319" s="7"/>
      <c r="Z6319" s="7"/>
    </row>
    <row r="6320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7"/>
      <c r="U6320" s="7"/>
      <c r="V6320" s="7"/>
      <c r="W6320" s="7"/>
      <c r="X6320" s="7"/>
      <c r="Y6320" s="7"/>
      <c r="Z6320" s="7"/>
    </row>
    <row r="6321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7"/>
      <c r="U6321" s="7"/>
      <c r="V6321" s="7"/>
      <c r="W6321" s="7"/>
      <c r="X6321" s="7"/>
      <c r="Y6321" s="7"/>
      <c r="Z6321" s="7"/>
    </row>
    <row r="6322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7"/>
      <c r="U6322" s="7"/>
      <c r="V6322" s="7"/>
      <c r="W6322" s="7"/>
      <c r="X6322" s="7"/>
      <c r="Y6322" s="7"/>
      <c r="Z6322" s="7"/>
    </row>
    <row r="6323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7"/>
      <c r="U6323" s="7"/>
      <c r="V6323" s="7"/>
      <c r="W6323" s="7"/>
      <c r="X6323" s="7"/>
      <c r="Y6323" s="7"/>
      <c r="Z6323" s="7"/>
    </row>
    <row r="6324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7"/>
      <c r="U6324" s="7"/>
      <c r="V6324" s="7"/>
      <c r="W6324" s="7"/>
      <c r="X6324" s="7"/>
      <c r="Y6324" s="7"/>
      <c r="Z6324" s="7"/>
    </row>
    <row r="63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7"/>
      <c r="U6325" s="7"/>
      <c r="V6325" s="7"/>
      <c r="W6325" s="7"/>
      <c r="X6325" s="7"/>
      <c r="Y6325" s="7"/>
      <c r="Z6325" s="7"/>
    </row>
    <row r="6326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7"/>
      <c r="U6326" s="7"/>
      <c r="V6326" s="7"/>
      <c r="W6326" s="7"/>
      <c r="X6326" s="7"/>
      <c r="Y6326" s="7"/>
      <c r="Z6326" s="7"/>
    </row>
    <row r="6327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7"/>
      <c r="U6327" s="7"/>
      <c r="V6327" s="7"/>
      <c r="W6327" s="7"/>
      <c r="X6327" s="7"/>
      <c r="Y6327" s="7"/>
      <c r="Z6327" s="7"/>
    </row>
    <row r="6328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7"/>
      <c r="U6328" s="7"/>
      <c r="V6328" s="7"/>
      <c r="W6328" s="7"/>
      <c r="X6328" s="7"/>
      <c r="Y6328" s="7"/>
      <c r="Z6328" s="7"/>
    </row>
    <row r="6329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7"/>
      <c r="U6329" s="7"/>
      <c r="V6329" s="7"/>
      <c r="W6329" s="7"/>
      <c r="X6329" s="7"/>
      <c r="Y6329" s="7"/>
      <c r="Z6329" s="7"/>
    </row>
    <row r="6330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7"/>
      <c r="U6330" s="7"/>
      <c r="V6330" s="7"/>
      <c r="W6330" s="7"/>
      <c r="X6330" s="7"/>
      <c r="Y6330" s="7"/>
      <c r="Z6330" s="7"/>
    </row>
    <row r="6331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7"/>
      <c r="U6331" s="7"/>
      <c r="V6331" s="7"/>
      <c r="W6331" s="7"/>
      <c r="X6331" s="7"/>
      <c r="Y6331" s="7"/>
      <c r="Z6331" s="7"/>
    </row>
    <row r="6332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7"/>
      <c r="U6332" s="7"/>
      <c r="V6332" s="7"/>
      <c r="W6332" s="7"/>
      <c r="X6332" s="7"/>
      <c r="Y6332" s="7"/>
      <c r="Z6332" s="7"/>
    </row>
    <row r="6333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7"/>
      <c r="U6333" s="7"/>
      <c r="V6333" s="7"/>
      <c r="W6333" s="7"/>
      <c r="X6333" s="7"/>
      <c r="Y6333" s="7"/>
      <c r="Z6333" s="7"/>
    </row>
    <row r="6334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7"/>
      <c r="U6334" s="7"/>
      <c r="V6334" s="7"/>
      <c r="W6334" s="7"/>
      <c r="X6334" s="7"/>
      <c r="Y6334" s="7"/>
      <c r="Z6334" s="7"/>
    </row>
    <row r="633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7"/>
      <c r="U6335" s="7"/>
      <c r="V6335" s="7"/>
      <c r="W6335" s="7"/>
      <c r="X6335" s="7"/>
      <c r="Y6335" s="7"/>
      <c r="Z6335" s="7"/>
    </row>
    <row r="6336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7"/>
      <c r="U6336" s="7"/>
      <c r="V6336" s="7"/>
      <c r="W6336" s="7"/>
      <c r="X6336" s="7"/>
      <c r="Y6336" s="7"/>
      <c r="Z6336" s="7"/>
    </row>
    <row r="6337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7"/>
      <c r="U6337" s="7"/>
      <c r="V6337" s="7"/>
      <c r="W6337" s="7"/>
      <c r="X6337" s="7"/>
      <c r="Y6337" s="7"/>
      <c r="Z6337" s="7"/>
    </row>
    <row r="6338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7"/>
      <c r="U6338" s="7"/>
      <c r="V6338" s="7"/>
      <c r="W6338" s="7"/>
      <c r="X6338" s="7"/>
      <c r="Y6338" s="7"/>
      <c r="Z6338" s="7"/>
    </row>
    <row r="6339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7"/>
      <c r="U6339" s="7"/>
      <c r="V6339" s="7"/>
      <c r="W6339" s="7"/>
      <c r="X6339" s="7"/>
      <c r="Y6339" s="7"/>
      <c r="Z6339" s="7"/>
    </row>
    <row r="6340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7"/>
      <c r="U6340" s="7"/>
      <c r="V6340" s="7"/>
      <c r="W6340" s="7"/>
      <c r="X6340" s="7"/>
      <c r="Y6340" s="7"/>
      <c r="Z6340" s="7"/>
    </row>
    <row r="6341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7"/>
      <c r="U6341" s="7"/>
      <c r="V6341" s="7"/>
      <c r="W6341" s="7"/>
      <c r="X6341" s="7"/>
      <c r="Y6341" s="7"/>
      <c r="Z6341" s="7"/>
    </row>
    <row r="6342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7"/>
      <c r="U6342" s="7"/>
      <c r="V6342" s="7"/>
      <c r="W6342" s="7"/>
      <c r="X6342" s="7"/>
      <c r="Y6342" s="7"/>
      <c r="Z6342" s="7"/>
    </row>
    <row r="6343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7"/>
      <c r="U6343" s="7"/>
      <c r="V6343" s="7"/>
      <c r="W6343" s="7"/>
      <c r="X6343" s="7"/>
      <c r="Y6343" s="7"/>
      <c r="Z6343" s="7"/>
    </row>
    <row r="6344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7"/>
      <c r="U6344" s="7"/>
      <c r="V6344" s="7"/>
      <c r="W6344" s="7"/>
      <c r="X6344" s="7"/>
      <c r="Y6344" s="7"/>
      <c r="Z6344" s="7"/>
    </row>
    <row r="634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7"/>
      <c r="U6345" s="7"/>
      <c r="V6345" s="7"/>
      <c r="W6345" s="7"/>
      <c r="X6345" s="7"/>
      <c r="Y6345" s="7"/>
      <c r="Z6345" s="7"/>
    </row>
    <row r="6346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7"/>
      <c r="U6346" s="7"/>
      <c r="V6346" s="7"/>
      <c r="W6346" s="7"/>
      <c r="X6346" s="7"/>
      <c r="Y6346" s="7"/>
      <c r="Z6346" s="7"/>
    </row>
    <row r="6347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7"/>
      <c r="U6347" s="7"/>
      <c r="V6347" s="7"/>
      <c r="W6347" s="7"/>
      <c r="X6347" s="7"/>
      <c r="Y6347" s="7"/>
      <c r="Z6347" s="7"/>
    </row>
    <row r="6348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7"/>
      <c r="U6348" s="7"/>
      <c r="V6348" s="7"/>
      <c r="W6348" s="7"/>
      <c r="X6348" s="7"/>
      <c r="Y6348" s="7"/>
      <c r="Z6348" s="7"/>
    </row>
    <row r="6349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7"/>
      <c r="U6349" s="7"/>
      <c r="V6349" s="7"/>
      <c r="W6349" s="7"/>
      <c r="X6349" s="7"/>
      <c r="Y6349" s="7"/>
      <c r="Z6349" s="7"/>
    </row>
    <row r="6350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7"/>
      <c r="U6350" s="7"/>
      <c r="V6350" s="7"/>
      <c r="W6350" s="7"/>
      <c r="X6350" s="7"/>
      <c r="Y6350" s="7"/>
      <c r="Z6350" s="7"/>
    </row>
    <row r="6351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7"/>
      <c r="U6351" s="7"/>
      <c r="V6351" s="7"/>
      <c r="W6351" s="7"/>
      <c r="X6351" s="7"/>
      <c r="Y6351" s="7"/>
      <c r="Z6351" s="7"/>
    </row>
    <row r="6352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7"/>
      <c r="U6352" s="7"/>
      <c r="V6352" s="7"/>
      <c r="W6352" s="7"/>
      <c r="X6352" s="7"/>
      <c r="Y6352" s="7"/>
      <c r="Z6352" s="7"/>
    </row>
    <row r="6353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7"/>
      <c r="U6353" s="7"/>
      <c r="V6353" s="7"/>
      <c r="W6353" s="7"/>
      <c r="X6353" s="7"/>
      <c r="Y6353" s="7"/>
      <c r="Z6353" s="7"/>
    </row>
    <row r="6354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7"/>
      <c r="U6354" s="7"/>
      <c r="V6354" s="7"/>
      <c r="W6354" s="7"/>
      <c r="X6354" s="7"/>
      <c r="Y6354" s="7"/>
      <c r="Z6354" s="7"/>
    </row>
    <row r="635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7"/>
      <c r="U6355" s="7"/>
      <c r="V6355" s="7"/>
      <c r="W6355" s="7"/>
      <c r="X6355" s="7"/>
      <c r="Y6355" s="7"/>
      <c r="Z6355" s="7"/>
    </row>
    <row r="6356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7"/>
      <c r="U6356" s="7"/>
      <c r="V6356" s="7"/>
      <c r="W6356" s="7"/>
      <c r="X6356" s="7"/>
      <c r="Y6356" s="7"/>
      <c r="Z6356" s="7"/>
    </row>
    <row r="6357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7"/>
      <c r="U6357" s="7"/>
      <c r="V6357" s="7"/>
      <c r="W6357" s="7"/>
      <c r="X6357" s="7"/>
      <c r="Y6357" s="7"/>
      <c r="Z6357" s="7"/>
    </row>
    <row r="6358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7"/>
      <c r="U6358" s="7"/>
      <c r="V6358" s="7"/>
      <c r="W6358" s="7"/>
      <c r="X6358" s="7"/>
      <c r="Y6358" s="7"/>
      <c r="Z6358" s="7"/>
    </row>
    <row r="6359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7"/>
      <c r="U6359" s="7"/>
      <c r="V6359" s="7"/>
      <c r="W6359" s="7"/>
      <c r="X6359" s="7"/>
      <c r="Y6359" s="7"/>
      <c r="Z6359" s="7"/>
    </row>
    <row r="6360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7"/>
      <c r="U6360" s="7"/>
      <c r="V6360" s="7"/>
      <c r="W6360" s="7"/>
      <c r="X6360" s="7"/>
      <c r="Y6360" s="7"/>
      <c r="Z6360" s="7"/>
    </row>
    <row r="6361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7"/>
      <c r="U6361" s="7"/>
      <c r="V6361" s="7"/>
      <c r="W6361" s="7"/>
      <c r="X6361" s="7"/>
      <c r="Y6361" s="7"/>
      <c r="Z6361" s="7"/>
    </row>
    <row r="6362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7"/>
      <c r="U6362" s="7"/>
      <c r="V6362" s="7"/>
      <c r="W6362" s="7"/>
      <c r="X6362" s="7"/>
      <c r="Y6362" s="7"/>
      <c r="Z6362" s="7"/>
    </row>
    <row r="6363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7"/>
      <c r="U6363" s="7"/>
      <c r="V6363" s="7"/>
      <c r="W6363" s="7"/>
      <c r="X6363" s="7"/>
      <c r="Y6363" s="7"/>
      <c r="Z6363" s="7"/>
    </row>
    <row r="6364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7"/>
      <c r="U6364" s="7"/>
      <c r="V6364" s="7"/>
      <c r="W6364" s="7"/>
      <c r="X6364" s="7"/>
      <c r="Y6364" s="7"/>
      <c r="Z6364" s="7"/>
    </row>
    <row r="636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7"/>
      <c r="U6365" s="7"/>
      <c r="V6365" s="7"/>
      <c r="W6365" s="7"/>
      <c r="X6365" s="7"/>
      <c r="Y6365" s="7"/>
      <c r="Z6365" s="7"/>
    </row>
    <row r="6366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7"/>
      <c r="U6366" s="7"/>
      <c r="V6366" s="7"/>
      <c r="W6366" s="7"/>
      <c r="X6366" s="7"/>
      <c r="Y6366" s="7"/>
      <c r="Z6366" s="7"/>
    </row>
    <row r="6367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7"/>
      <c r="U6367" s="7"/>
      <c r="V6367" s="7"/>
      <c r="W6367" s="7"/>
      <c r="X6367" s="7"/>
      <c r="Y6367" s="7"/>
      <c r="Z6367" s="7"/>
    </row>
    <row r="6368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7"/>
      <c r="U6368" s="7"/>
      <c r="V6368" s="7"/>
      <c r="W6368" s="7"/>
      <c r="X6368" s="7"/>
      <c r="Y6368" s="7"/>
      <c r="Z6368" s="7"/>
    </row>
    <row r="6369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7"/>
      <c r="U6369" s="7"/>
      <c r="V6369" s="7"/>
      <c r="W6369" s="7"/>
      <c r="X6369" s="7"/>
      <c r="Y6369" s="7"/>
      <c r="Z6369" s="7"/>
    </row>
    <row r="6370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7"/>
      <c r="U6370" s="7"/>
      <c r="V6370" s="7"/>
      <c r="W6370" s="7"/>
      <c r="X6370" s="7"/>
      <c r="Y6370" s="7"/>
      <c r="Z6370" s="7"/>
    </row>
    <row r="6371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7"/>
      <c r="U6371" s="7"/>
      <c r="V6371" s="7"/>
      <c r="W6371" s="7"/>
      <c r="X6371" s="7"/>
      <c r="Y6371" s="7"/>
      <c r="Z6371" s="7"/>
    </row>
    <row r="6372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7"/>
      <c r="U6372" s="7"/>
      <c r="V6372" s="7"/>
      <c r="W6372" s="7"/>
      <c r="X6372" s="7"/>
      <c r="Y6372" s="7"/>
      <c r="Z6372" s="7"/>
    </row>
    <row r="6373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7"/>
      <c r="U6373" s="7"/>
      <c r="V6373" s="7"/>
      <c r="W6373" s="7"/>
      <c r="X6373" s="7"/>
      <c r="Y6373" s="7"/>
      <c r="Z6373" s="7"/>
    </row>
    <row r="6374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7"/>
      <c r="U6374" s="7"/>
      <c r="V6374" s="7"/>
      <c r="W6374" s="7"/>
      <c r="X6374" s="7"/>
      <c r="Y6374" s="7"/>
      <c r="Z6374" s="7"/>
    </row>
    <row r="637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7"/>
      <c r="U6375" s="7"/>
      <c r="V6375" s="7"/>
      <c r="W6375" s="7"/>
      <c r="X6375" s="7"/>
      <c r="Y6375" s="7"/>
      <c r="Z6375" s="7"/>
    </row>
    <row r="6376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7"/>
      <c r="U6376" s="7"/>
      <c r="V6376" s="7"/>
      <c r="W6376" s="7"/>
      <c r="X6376" s="7"/>
      <c r="Y6376" s="7"/>
      <c r="Z6376" s="7"/>
    </row>
    <row r="6377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7"/>
      <c r="U6377" s="7"/>
      <c r="V6377" s="7"/>
      <c r="W6377" s="7"/>
      <c r="X6377" s="7"/>
      <c r="Y6377" s="7"/>
      <c r="Z6377" s="7"/>
    </row>
    <row r="6378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7"/>
      <c r="U6378" s="7"/>
      <c r="V6378" s="7"/>
      <c r="W6378" s="7"/>
      <c r="X6378" s="7"/>
      <c r="Y6378" s="7"/>
      <c r="Z6378" s="7"/>
    </row>
    <row r="6379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7"/>
      <c r="U6379" s="7"/>
      <c r="V6379" s="7"/>
      <c r="W6379" s="7"/>
      <c r="X6379" s="7"/>
      <c r="Y6379" s="7"/>
      <c r="Z6379" s="7"/>
    </row>
    <row r="6380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7"/>
      <c r="U6380" s="7"/>
      <c r="V6380" s="7"/>
      <c r="W6380" s="7"/>
      <c r="X6380" s="7"/>
      <c r="Y6380" s="7"/>
      <c r="Z6380" s="7"/>
    </row>
    <row r="6381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7"/>
      <c r="U6381" s="7"/>
      <c r="V6381" s="7"/>
      <c r="W6381" s="7"/>
      <c r="X6381" s="7"/>
      <c r="Y6381" s="7"/>
      <c r="Z6381" s="7"/>
    </row>
    <row r="6382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7"/>
      <c r="U6382" s="7"/>
      <c r="V6382" s="7"/>
      <c r="W6382" s="7"/>
      <c r="X6382" s="7"/>
      <c r="Y6382" s="7"/>
      <c r="Z6382" s="7"/>
    </row>
    <row r="6383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7"/>
      <c r="U6383" s="7"/>
      <c r="V6383" s="7"/>
      <c r="W6383" s="7"/>
      <c r="X6383" s="7"/>
      <c r="Y6383" s="7"/>
      <c r="Z6383" s="7"/>
    </row>
    <row r="6384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7"/>
      <c r="U6384" s="7"/>
      <c r="V6384" s="7"/>
      <c r="W6384" s="7"/>
      <c r="X6384" s="7"/>
      <c r="Y6384" s="7"/>
      <c r="Z6384" s="7"/>
    </row>
    <row r="638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7"/>
      <c r="U6385" s="7"/>
      <c r="V6385" s="7"/>
      <c r="W6385" s="7"/>
      <c r="X6385" s="7"/>
      <c r="Y6385" s="7"/>
      <c r="Z6385" s="7"/>
    </row>
    <row r="6386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7"/>
      <c r="U6386" s="7"/>
      <c r="V6386" s="7"/>
      <c r="W6386" s="7"/>
      <c r="X6386" s="7"/>
      <c r="Y6386" s="7"/>
      <c r="Z6386" s="7"/>
    </row>
    <row r="6387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7"/>
      <c r="U6387" s="7"/>
      <c r="V6387" s="7"/>
      <c r="W6387" s="7"/>
      <c r="X6387" s="7"/>
      <c r="Y6387" s="7"/>
      <c r="Z6387" s="7"/>
    </row>
    <row r="6388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7"/>
      <c r="U6388" s="7"/>
      <c r="V6388" s="7"/>
      <c r="W6388" s="7"/>
      <c r="X6388" s="7"/>
      <c r="Y6388" s="7"/>
      <c r="Z6388" s="7"/>
    </row>
    <row r="6389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7"/>
      <c r="U6389" s="7"/>
      <c r="V6389" s="7"/>
      <c r="W6389" s="7"/>
      <c r="X6389" s="7"/>
      <c r="Y6389" s="7"/>
      <c r="Z6389" s="7"/>
    </row>
    <row r="6390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7"/>
      <c r="U6390" s="7"/>
      <c r="V6390" s="7"/>
      <c r="W6390" s="7"/>
      <c r="X6390" s="7"/>
      <c r="Y6390" s="7"/>
      <c r="Z6390" s="7"/>
    </row>
    <row r="6391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7"/>
      <c r="U6391" s="7"/>
      <c r="V6391" s="7"/>
      <c r="W6391" s="7"/>
      <c r="X6391" s="7"/>
      <c r="Y6391" s="7"/>
      <c r="Z6391" s="7"/>
    </row>
    <row r="6392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7"/>
      <c r="U6392" s="7"/>
      <c r="V6392" s="7"/>
      <c r="W6392" s="7"/>
      <c r="X6392" s="7"/>
      <c r="Y6392" s="7"/>
      <c r="Z6392" s="7"/>
    </row>
    <row r="6393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7"/>
      <c r="U6393" s="7"/>
      <c r="V6393" s="7"/>
      <c r="W6393" s="7"/>
      <c r="X6393" s="7"/>
      <c r="Y6393" s="7"/>
      <c r="Z6393" s="7"/>
    </row>
    <row r="6394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7"/>
      <c r="U6394" s="7"/>
      <c r="V6394" s="7"/>
      <c r="W6394" s="7"/>
      <c r="X6394" s="7"/>
      <c r="Y6394" s="7"/>
      <c r="Z6394" s="7"/>
    </row>
    <row r="639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7"/>
      <c r="U6395" s="7"/>
      <c r="V6395" s="7"/>
      <c r="W6395" s="7"/>
      <c r="X6395" s="7"/>
      <c r="Y6395" s="7"/>
      <c r="Z6395" s="7"/>
    </row>
    <row r="6396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7"/>
      <c r="U6396" s="7"/>
      <c r="V6396" s="7"/>
      <c r="W6396" s="7"/>
      <c r="X6396" s="7"/>
      <c r="Y6396" s="7"/>
      <c r="Z6396" s="7"/>
    </row>
    <row r="6397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7"/>
      <c r="U6397" s="7"/>
      <c r="V6397" s="7"/>
      <c r="W6397" s="7"/>
      <c r="X6397" s="7"/>
      <c r="Y6397" s="7"/>
      <c r="Z6397" s="7"/>
    </row>
    <row r="6398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7"/>
      <c r="U6398" s="7"/>
      <c r="V6398" s="7"/>
      <c r="W6398" s="7"/>
      <c r="X6398" s="7"/>
      <c r="Y6398" s="7"/>
      <c r="Z6398" s="7"/>
    </row>
    <row r="6399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7"/>
      <c r="U6399" s="7"/>
      <c r="V6399" s="7"/>
      <c r="W6399" s="7"/>
      <c r="X6399" s="7"/>
      <c r="Y6399" s="7"/>
      <c r="Z6399" s="7"/>
    </row>
    <row r="6400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7"/>
      <c r="U6400" s="7"/>
      <c r="V6400" s="7"/>
      <c r="W6400" s="7"/>
      <c r="X6400" s="7"/>
      <c r="Y6400" s="7"/>
      <c r="Z6400" s="7"/>
    </row>
    <row r="6401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7"/>
      <c r="U6401" s="7"/>
      <c r="V6401" s="7"/>
      <c r="W6401" s="7"/>
      <c r="X6401" s="7"/>
      <c r="Y6401" s="7"/>
      <c r="Z6401" s="7"/>
    </row>
    <row r="6402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7"/>
      <c r="U6402" s="7"/>
      <c r="V6402" s="7"/>
      <c r="W6402" s="7"/>
      <c r="X6402" s="7"/>
      <c r="Y6402" s="7"/>
      <c r="Z6402" s="7"/>
    </row>
    <row r="6403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7"/>
      <c r="U6403" s="7"/>
      <c r="V6403" s="7"/>
      <c r="W6403" s="7"/>
      <c r="X6403" s="7"/>
      <c r="Y6403" s="7"/>
      <c r="Z6403" s="7"/>
    </row>
    <row r="6404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7"/>
      <c r="U6404" s="7"/>
      <c r="V6404" s="7"/>
      <c r="W6404" s="7"/>
      <c r="X6404" s="7"/>
      <c r="Y6404" s="7"/>
      <c r="Z6404" s="7"/>
    </row>
    <row r="640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7"/>
      <c r="U6405" s="7"/>
      <c r="V6405" s="7"/>
      <c r="W6405" s="7"/>
      <c r="X6405" s="7"/>
      <c r="Y6405" s="7"/>
      <c r="Z6405" s="7"/>
    </row>
    <row r="6406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7"/>
      <c r="U6406" s="7"/>
      <c r="V6406" s="7"/>
      <c r="W6406" s="7"/>
      <c r="X6406" s="7"/>
      <c r="Y6406" s="7"/>
      <c r="Z6406" s="7"/>
    </row>
    <row r="6407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7"/>
      <c r="U6407" s="7"/>
      <c r="V6407" s="7"/>
      <c r="W6407" s="7"/>
      <c r="X6407" s="7"/>
      <c r="Y6407" s="7"/>
      <c r="Z6407" s="7"/>
    </row>
    <row r="6408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7"/>
      <c r="U6408" s="7"/>
      <c r="V6408" s="7"/>
      <c r="W6408" s="7"/>
      <c r="X6408" s="7"/>
      <c r="Y6408" s="7"/>
      <c r="Z6408" s="7"/>
    </row>
    <row r="6409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7"/>
      <c r="U6409" s="7"/>
      <c r="V6409" s="7"/>
      <c r="W6409" s="7"/>
      <c r="X6409" s="7"/>
      <c r="Y6409" s="7"/>
      <c r="Z6409" s="7"/>
    </row>
    <row r="6410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7"/>
      <c r="U6410" s="7"/>
      <c r="V6410" s="7"/>
      <c r="W6410" s="7"/>
      <c r="X6410" s="7"/>
      <c r="Y6410" s="7"/>
      <c r="Z6410" s="7"/>
    </row>
    <row r="6411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7"/>
      <c r="U6411" s="7"/>
      <c r="V6411" s="7"/>
      <c r="W6411" s="7"/>
      <c r="X6411" s="7"/>
      <c r="Y6411" s="7"/>
      <c r="Z6411" s="7"/>
    </row>
    <row r="6412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7"/>
      <c r="U6412" s="7"/>
      <c r="V6412" s="7"/>
      <c r="W6412" s="7"/>
      <c r="X6412" s="7"/>
      <c r="Y6412" s="7"/>
      <c r="Z6412" s="7"/>
    </row>
    <row r="6413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7"/>
      <c r="U6413" s="7"/>
      <c r="V6413" s="7"/>
      <c r="W6413" s="7"/>
      <c r="X6413" s="7"/>
      <c r="Y6413" s="7"/>
      <c r="Z6413" s="7"/>
    </row>
    <row r="6414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7"/>
      <c r="U6414" s="7"/>
      <c r="V6414" s="7"/>
      <c r="W6414" s="7"/>
      <c r="X6414" s="7"/>
      <c r="Y6414" s="7"/>
      <c r="Z6414" s="7"/>
    </row>
    <row r="64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7"/>
      <c r="U6415" s="7"/>
      <c r="V6415" s="7"/>
      <c r="W6415" s="7"/>
      <c r="X6415" s="7"/>
      <c r="Y6415" s="7"/>
      <c r="Z6415" s="7"/>
    </row>
    <row r="6416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7"/>
      <c r="U6416" s="7"/>
      <c r="V6416" s="7"/>
      <c r="W6416" s="7"/>
      <c r="X6416" s="7"/>
      <c r="Y6416" s="7"/>
      <c r="Z6416" s="7"/>
    </row>
    <row r="6417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7"/>
      <c r="U6417" s="7"/>
      <c r="V6417" s="7"/>
      <c r="W6417" s="7"/>
      <c r="X6417" s="7"/>
      <c r="Y6417" s="7"/>
      <c r="Z6417" s="7"/>
    </row>
    <row r="6418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7"/>
      <c r="U6418" s="7"/>
      <c r="V6418" s="7"/>
      <c r="W6418" s="7"/>
      <c r="X6418" s="7"/>
      <c r="Y6418" s="7"/>
      <c r="Z6418" s="7"/>
    </row>
    <row r="6419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7"/>
      <c r="U6419" s="7"/>
      <c r="V6419" s="7"/>
      <c r="W6419" s="7"/>
      <c r="X6419" s="7"/>
      <c r="Y6419" s="7"/>
      <c r="Z6419" s="7"/>
    </row>
    <row r="6420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7"/>
      <c r="U6420" s="7"/>
      <c r="V6420" s="7"/>
      <c r="W6420" s="7"/>
      <c r="X6420" s="7"/>
      <c r="Y6420" s="7"/>
      <c r="Z6420" s="7"/>
    </row>
    <row r="6421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7"/>
      <c r="U6421" s="7"/>
      <c r="V6421" s="7"/>
      <c r="W6421" s="7"/>
      <c r="X6421" s="7"/>
      <c r="Y6421" s="7"/>
      <c r="Z6421" s="7"/>
    </row>
    <row r="6422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7"/>
      <c r="U6422" s="7"/>
      <c r="V6422" s="7"/>
      <c r="W6422" s="7"/>
      <c r="X6422" s="7"/>
      <c r="Y6422" s="7"/>
      <c r="Z6422" s="7"/>
    </row>
    <row r="6423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7"/>
      <c r="U6423" s="7"/>
      <c r="V6423" s="7"/>
      <c r="W6423" s="7"/>
      <c r="X6423" s="7"/>
      <c r="Y6423" s="7"/>
      <c r="Z6423" s="7"/>
    </row>
    <row r="6424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7"/>
      <c r="U6424" s="7"/>
      <c r="V6424" s="7"/>
      <c r="W6424" s="7"/>
      <c r="X6424" s="7"/>
      <c r="Y6424" s="7"/>
      <c r="Z6424" s="7"/>
    </row>
    <row r="64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7"/>
      <c r="U6425" s="7"/>
      <c r="V6425" s="7"/>
      <c r="W6425" s="7"/>
      <c r="X6425" s="7"/>
      <c r="Y6425" s="7"/>
      <c r="Z6425" s="7"/>
    </row>
    <row r="6426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7"/>
      <c r="U6426" s="7"/>
      <c r="V6426" s="7"/>
      <c r="W6426" s="7"/>
      <c r="X6426" s="7"/>
      <c r="Y6426" s="7"/>
      <c r="Z6426" s="7"/>
    </row>
    <row r="6427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7"/>
      <c r="U6427" s="7"/>
      <c r="V6427" s="7"/>
      <c r="W6427" s="7"/>
      <c r="X6427" s="7"/>
      <c r="Y6427" s="7"/>
      <c r="Z6427" s="7"/>
    </row>
    <row r="6428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7"/>
      <c r="U6428" s="7"/>
      <c r="V6428" s="7"/>
      <c r="W6428" s="7"/>
      <c r="X6428" s="7"/>
      <c r="Y6428" s="7"/>
      <c r="Z6428" s="7"/>
    </row>
    <row r="6429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7"/>
      <c r="U6429" s="7"/>
      <c r="V6429" s="7"/>
      <c r="W6429" s="7"/>
      <c r="X6429" s="7"/>
      <c r="Y6429" s="7"/>
      <c r="Z6429" s="7"/>
    </row>
    <row r="6430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7"/>
      <c r="U6430" s="7"/>
      <c r="V6430" s="7"/>
      <c r="W6430" s="7"/>
      <c r="X6430" s="7"/>
      <c r="Y6430" s="7"/>
      <c r="Z6430" s="7"/>
    </row>
    <row r="6431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7"/>
      <c r="U6431" s="7"/>
      <c r="V6431" s="7"/>
      <c r="W6431" s="7"/>
      <c r="X6431" s="7"/>
      <c r="Y6431" s="7"/>
      <c r="Z6431" s="7"/>
    </row>
    <row r="6432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7"/>
      <c r="U6432" s="7"/>
      <c r="V6432" s="7"/>
      <c r="W6432" s="7"/>
      <c r="X6432" s="7"/>
      <c r="Y6432" s="7"/>
      <c r="Z6432" s="7"/>
    </row>
    <row r="6433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7"/>
      <c r="U6433" s="7"/>
      <c r="V6433" s="7"/>
      <c r="W6433" s="7"/>
      <c r="X6433" s="7"/>
      <c r="Y6433" s="7"/>
      <c r="Z6433" s="7"/>
    </row>
    <row r="6434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7"/>
      <c r="U6434" s="7"/>
      <c r="V6434" s="7"/>
      <c r="W6434" s="7"/>
      <c r="X6434" s="7"/>
      <c r="Y6434" s="7"/>
      <c r="Z6434" s="7"/>
    </row>
    <row r="643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7"/>
      <c r="U6435" s="7"/>
      <c r="V6435" s="7"/>
      <c r="W6435" s="7"/>
      <c r="X6435" s="7"/>
      <c r="Y6435" s="7"/>
      <c r="Z6435" s="7"/>
    </row>
    <row r="6436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7"/>
      <c r="U6436" s="7"/>
      <c r="V6436" s="7"/>
      <c r="W6436" s="7"/>
      <c r="X6436" s="7"/>
      <c r="Y6436" s="7"/>
      <c r="Z6436" s="7"/>
    </row>
    <row r="6437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7"/>
      <c r="U6437" s="7"/>
      <c r="V6437" s="7"/>
      <c r="W6437" s="7"/>
      <c r="X6437" s="7"/>
      <c r="Y6437" s="7"/>
      <c r="Z6437" s="7"/>
    </row>
    <row r="6438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7"/>
      <c r="U6438" s="7"/>
      <c r="V6438" s="7"/>
      <c r="W6438" s="7"/>
      <c r="X6438" s="7"/>
      <c r="Y6438" s="7"/>
      <c r="Z6438" s="7"/>
    </row>
    <row r="6439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7"/>
      <c r="U6439" s="7"/>
      <c r="V6439" s="7"/>
      <c r="W6439" s="7"/>
      <c r="X6439" s="7"/>
      <c r="Y6439" s="7"/>
      <c r="Z6439" s="7"/>
    </row>
    <row r="6440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7"/>
      <c r="U6440" s="7"/>
      <c r="V6440" s="7"/>
      <c r="W6440" s="7"/>
      <c r="X6440" s="7"/>
      <c r="Y6440" s="7"/>
      <c r="Z6440" s="7"/>
    </row>
    <row r="6441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7"/>
      <c r="U6441" s="7"/>
      <c r="V6441" s="7"/>
      <c r="W6441" s="7"/>
      <c r="X6441" s="7"/>
      <c r="Y6441" s="7"/>
      <c r="Z6441" s="7"/>
    </row>
    <row r="6442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7"/>
      <c r="U6442" s="7"/>
      <c r="V6442" s="7"/>
      <c r="W6442" s="7"/>
      <c r="X6442" s="7"/>
      <c r="Y6442" s="7"/>
      <c r="Z6442" s="7"/>
    </row>
    <row r="6443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7"/>
      <c r="U6443" s="7"/>
      <c r="V6443" s="7"/>
      <c r="W6443" s="7"/>
      <c r="X6443" s="7"/>
      <c r="Y6443" s="7"/>
      <c r="Z6443" s="7"/>
    </row>
    <row r="6444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7"/>
      <c r="U6444" s="7"/>
      <c r="V6444" s="7"/>
      <c r="W6444" s="7"/>
      <c r="X6444" s="7"/>
      <c r="Y6444" s="7"/>
      <c r="Z6444" s="7"/>
    </row>
    <row r="644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7"/>
      <c r="U6445" s="7"/>
      <c r="V6445" s="7"/>
      <c r="W6445" s="7"/>
      <c r="X6445" s="7"/>
      <c r="Y6445" s="7"/>
      <c r="Z6445" s="7"/>
    </row>
    <row r="6446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7"/>
      <c r="U6446" s="7"/>
      <c r="V6446" s="7"/>
      <c r="W6446" s="7"/>
      <c r="X6446" s="7"/>
      <c r="Y6446" s="7"/>
      <c r="Z6446" s="7"/>
    </row>
    <row r="6447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7"/>
      <c r="U6447" s="7"/>
      <c r="V6447" s="7"/>
      <c r="W6447" s="7"/>
      <c r="X6447" s="7"/>
      <c r="Y6447" s="7"/>
      <c r="Z6447" s="7"/>
    </row>
    <row r="6448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7"/>
      <c r="U6448" s="7"/>
      <c r="V6448" s="7"/>
      <c r="W6448" s="7"/>
      <c r="X6448" s="7"/>
      <c r="Y6448" s="7"/>
      <c r="Z6448" s="7"/>
    </row>
    <row r="6449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7"/>
      <c r="U6449" s="7"/>
      <c r="V6449" s="7"/>
      <c r="W6449" s="7"/>
      <c r="X6449" s="7"/>
      <c r="Y6449" s="7"/>
      <c r="Z6449" s="7"/>
    </row>
    <row r="6450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7"/>
      <c r="U6450" s="7"/>
      <c r="V6450" s="7"/>
      <c r="W6450" s="7"/>
      <c r="X6450" s="7"/>
      <c r="Y6450" s="7"/>
      <c r="Z6450" s="7"/>
    </row>
    <row r="6451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7"/>
      <c r="U6451" s="7"/>
      <c r="V6451" s="7"/>
      <c r="W6451" s="7"/>
      <c r="X6451" s="7"/>
      <c r="Y6451" s="7"/>
      <c r="Z6451" s="7"/>
    </row>
    <row r="6452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7"/>
      <c r="U6452" s="7"/>
      <c r="V6452" s="7"/>
      <c r="W6452" s="7"/>
      <c r="X6452" s="7"/>
      <c r="Y6452" s="7"/>
      <c r="Z6452" s="7"/>
    </row>
    <row r="6453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7"/>
      <c r="U6453" s="7"/>
      <c r="V6453" s="7"/>
      <c r="W6453" s="7"/>
      <c r="X6453" s="7"/>
      <c r="Y6453" s="7"/>
      <c r="Z6453" s="7"/>
    </row>
    <row r="6454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7"/>
      <c r="U6454" s="7"/>
      <c r="V6454" s="7"/>
      <c r="W6454" s="7"/>
      <c r="X6454" s="7"/>
      <c r="Y6454" s="7"/>
      <c r="Z6454" s="7"/>
    </row>
    <row r="645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7"/>
      <c r="U6455" s="7"/>
      <c r="V6455" s="7"/>
      <c r="W6455" s="7"/>
      <c r="X6455" s="7"/>
      <c r="Y6455" s="7"/>
      <c r="Z6455" s="7"/>
    </row>
    <row r="6456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7"/>
      <c r="U6456" s="7"/>
      <c r="V6456" s="7"/>
      <c r="W6456" s="7"/>
      <c r="X6456" s="7"/>
      <c r="Y6456" s="7"/>
      <c r="Z6456" s="7"/>
    </row>
    <row r="6457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7"/>
      <c r="U6457" s="7"/>
      <c r="V6457" s="7"/>
      <c r="W6457" s="7"/>
      <c r="X6457" s="7"/>
      <c r="Y6457" s="7"/>
      <c r="Z6457" s="7"/>
    </row>
    <row r="6458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7"/>
      <c r="U6458" s="7"/>
      <c r="V6458" s="7"/>
      <c r="W6458" s="7"/>
      <c r="X6458" s="7"/>
      <c r="Y6458" s="7"/>
      <c r="Z6458" s="7"/>
    </row>
    <row r="6459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7"/>
      <c r="U6459" s="7"/>
      <c r="V6459" s="7"/>
      <c r="W6459" s="7"/>
      <c r="X6459" s="7"/>
      <c r="Y6459" s="7"/>
      <c r="Z6459" s="7"/>
    </row>
    <row r="6460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7"/>
      <c r="U6460" s="7"/>
      <c r="V6460" s="7"/>
      <c r="W6460" s="7"/>
      <c r="X6460" s="7"/>
      <c r="Y6460" s="7"/>
      <c r="Z6460" s="7"/>
    </row>
    <row r="6461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7"/>
      <c r="U6461" s="7"/>
      <c r="V6461" s="7"/>
      <c r="W6461" s="7"/>
      <c r="X6461" s="7"/>
      <c r="Y6461" s="7"/>
      <c r="Z6461" s="7"/>
    </row>
    <row r="6462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7"/>
      <c r="U6462" s="7"/>
      <c r="V6462" s="7"/>
      <c r="W6462" s="7"/>
      <c r="X6462" s="7"/>
      <c r="Y6462" s="7"/>
      <c r="Z6462" s="7"/>
    </row>
    <row r="6463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7"/>
      <c r="U6463" s="7"/>
      <c r="V6463" s="7"/>
      <c r="W6463" s="7"/>
      <c r="X6463" s="7"/>
      <c r="Y6463" s="7"/>
      <c r="Z6463" s="7"/>
    </row>
    <row r="6464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7"/>
      <c r="U6464" s="7"/>
      <c r="V6464" s="7"/>
      <c r="W6464" s="7"/>
      <c r="X6464" s="7"/>
      <c r="Y6464" s="7"/>
      <c r="Z6464" s="7"/>
    </row>
    <row r="646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7"/>
      <c r="U6465" s="7"/>
      <c r="V6465" s="7"/>
      <c r="W6465" s="7"/>
      <c r="X6465" s="7"/>
      <c r="Y6465" s="7"/>
      <c r="Z6465" s="7"/>
    </row>
    <row r="6466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7"/>
      <c r="U6466" s="7"/>
      <c r="V6466" s="7"/>
      <c r="W6466" s="7"/>
      <c r="X6466" s="7"/>
      <c r="Y6466" s="7"/>
      <c r="Z6466" s="7"/>
    </row>
    <row r="6467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7"/>
      <c r="U6467" s="7"/>
      <c r="V6467" s="7"/>
      <c r="W6467" s="7"/>
      <c r="X6467" s="7"/>
      <c r="Y6467" s="7"/>
      <c r="Z6467" s="7"/>
    </row>
    <row r="6468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7"/>
      <c r="U6468" s="7"/>
      <c r="V6468" s="7"/>
      <c r="W6468" s="7"/>
      <c r="X6468" s="7"/>
      <c r="Y6468" s="7"/>
      <c r="Z6468" s="7"/>
    </row>
    <row r="6469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7"/>
      <c r="U6469" s="7"/>
      <c r="V6469" s="7"/>
      <c r="W6469" s="7"/>
      <c r="X6469" s="7"/>
      <c r="Y6469" s="7"/>
      <c r="Z6469" s="7"/>
    </row>
    <row r="6470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7"/>
      <c r="U6470" s="7"/>
      <c r="V6470" s="7"/>
      <c r="W6470" s="7"/>
      <c r="X6470" s="7"/>
      <c r="Y6470" s="7"/>
      <c r="Z6470" s="7"/>
    </row>
    <row r="6471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7"/>
      <c r="U6471" s="7"/>
      <c r="V6471" s="7"/>
      <c r="W6471" s="7"/>
      <c r="X6471" s="7"/>
      <c r="Y6471" s="7"/>
      <c r="Z6471" s="7"/>
    </row>
    <row r="6472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7"/>
      <c r="U6472" s="7"/>
      <c r="V6472" s="7"/>
      <c r="W6472" s="7"/>
      <c r="X6472" s="7"/>
      <c r="Y6472" s="7"/>
      <c r="Z6472" s="7"/>
    </row>
    <row r="6473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7"/>
      <c r="U6473" s="7"/>
      <c r="V6473" s="7"/>
      <c r="W6473" s="7"/>
      <c r="X6473" s="7"/>
      <c r="Y6473" s="7"/>
      <c r="Z6473" s="7"/>
    </row>
    <row r="6474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7"/>
      <c r="U6474" s="7"/>
      <c r="V6474" s="7"/>
      <c r="W6474" s="7"/>
      <c r="X6474" s="7"/>
      <c r="Y6474" s="7"/>
      <c r="Z6474" s="7"/>
    </row>
    <row r="647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7"/>
      <c r="U6475" s="7"/>
      <c r="V6475" s="7"/>
      <c r="W6475" s="7"/>
      <c r="X6475" s="7"/>
      <c r="Y6475" s="7"/>
      <c r="Z6475" s="7"/>
    </row>
    <row r="6476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7"/>
      <c r="U6476" s="7"/>
      <c r="V6476" s="7"/>
      <c r="W6476" s="7"/>
      <c r="X6476" s="7"/>
      <c r="Y6476" s="7"/>
      <c r="Z6476" s="7"/>
    </row>
    <row r="6477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7"/>
      <c r="U6477" s="7"/>
      <c r="V6477" s="7"/>
      <c r="W6477" s="7"/>
      <c r="X6477" s="7"/>
      <c r="Y6477" s="7"/>
      <c r="Z6477" s="7"/>
    </row>
    <row r="6478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7"/>
      <c r="U6478" s="7"/>
      <c r="V6478" s="7"/>
      <c r="W6478" s="7"/>
      <c r="X6478" s="7"/>
      <c r="Y6478" s="7"/>
      <c r="Z6478" s="7"/>
    </row>
    <row r="6479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7"/>
      <c r="U6479" s="7"/>
      <c r="V6479" s="7"/>
      <c r="W6479" s="7"/>
      <c r="X6479" s="7"/>
      <c r="Y6479" s="7"/>
      <c r="Z6479" s="7"/>
    </row>
    <row r="6480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7"/>
      <c r="U6480" s="7"/>
      <c r="V6480" s="7"/>
      <c r="W6480" s="7"/>
      <c r="X6480" s="7"/>
      <c r="Y6480" s="7"/>
      <c r="Z6480" s="7"/>
    </row>
    <row r="6481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7"/>
      <c r="U6481" s="7"/>
      <c r="V6481" s="7"/>
      <c r="W6481" s="7"/>
      <c r="X6481" s="7"/>
      <c r="Y6481" s="7"/>
      <c r="Z6481" s="7"/>
    </row>
    <row r="6482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7"/>
      <c r="U6482" s="7"/>
      <c r="V6482" s="7"/>
      <c r="W6482" s="7"/>
      <c r="X6482" s="7"/>
      <c r="Y6482" s="7"/>
      <c r="Z6482" s="7"/>
    </row>
    <row r="6483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7"/>
      <c r="U6483" s="7"/>
      <c r="V6483" s="7"/>
      <c r="W6483" s="7"/>
      <c r="X6483" s="7"/>
      <c r="Y6483" s="7"/>
      <c r="Z6483" s="7"/>
    </row>
    <row r="6484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7"/>
      <c r="U6484" s="7"/>
      <c r="V6484" s="7"/>
      <c r="W6484" s="7"/>
      <c r="X6484" s="7"/>
      <c r="Y6484" s="7"/>
      <c r="Z6484" s="7"/>
    </row>
    <row r="648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7"/>
      <c r="U6485" s="7"/>
      <c r="V6485" s="7"/>
      <c r="W6485" s="7"/>
      <c r="X6485" s="7"/>
      <c r="Y6485" s="7"/>
      <c r="Z6485" s="7"/>
    </row>
    <row r="6486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7"/>
      <c r="U6486" s="7"/>
      <c r="V6486" s="7"/>
      <c r="W6486" s="7"/>
      <c r="X6486" s="7"/>
      <c r="Y6486" s="7"/>
      <c r="Z6486" s="7"/>
    </row>
    <row r="6487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7"/>
      <c r="U6487" s="7"/>
      <c r="V6487" s="7"/>
      <c r="W6487" s="7"/>
      <c r="X6487" s="7"/>
      <c r="Y6487" s="7"/>
      <c r="Z6487" s="7"/>
    </row>
    <row r="6488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7"/>
      <c r="U6488" s="7"/>
      <c r="V6488" s="7"/>
      <c r="W6488" s="7"/>
      <c r="X6488" s="7"/>
      <c r="Y6488" s="7"/>
      <c r="Z6488" s="7"/>
    </row>
    <row r="6489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7"/>
      <c r="U6489" s="7"/>
      <c r="V6489" s="7"/>
      <c r="W6489" s="7"/>
      <c r="X6489" s="7"/>
      <c r="Y6489" s="7"/>
      <c r="Z6489" s="7"/>
    </row>
    <row r="6490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7"/>
      <c r="U6490" s="7"/>
      <c r="V6490" s="7"/>
      <c r="W6490" s="7"/>
      <c r="X6490" s="7"/>
      <c r="Y6490" s="7"/>
      <c r="Z6490" s="7"/>
    </row>
    <row r="6491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7"/>
      <c r="U6491" s="7"/>
      <c r="V6491" s="7"/>
      <c r="W6491" s="7"/>
      <c r="X6491" s="7"/>
      <c r="Y6491" s="7"/>
      <c r="Z6491" s="7"/>
    </row>
    <row r="6492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7"/>
      <c r="U6492" s="7"/>
      <c r="V6492" s="7"/>
      <c r="W6492" s="7"/>
      <c r="X6492" s="7"/>
      <c r="Y6492" s="7"/>
      <c r="Z6492" s="7"/>
    </row>
    <row r="6493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7"/>
      <c r="U6493" s="7"/>
      <c r="V6493" s="7"/>
      <c r="W6493" s="7"/>
      <c r="X6493" s="7"/>
      <c r="Y6493" s="7"/>
      <c r="Z6493" s="7"/>
    </row>
    <row r="6494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7"/>
      <c r="U6494" s="7"/>
      <c r="V6494" s="7"/>
      <c r="W6494" s="7"/>
      <c r="X6494" s="7"/>
      <c r="Y6494" s="7"/>
      <c r="Z6494" s="7"/>
    </row>
    <row r="649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7"/>
      <c r="U6495" s="7"/>
      <c r="V6495" s="7"/>
      <c r="W6495" s="7"/>
      <c r="X6495" s="7"/>
      <c r="Y6495" s="7"/>
      <c r="Z6495" s="7"/>
    </row>
    <row r="6496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7"/>
      <c r="U6496" s="7"/>
      <c r="V6496" s="7"/>
      <c r="W6496" s="7"/>
      <c r="X6496" s="7"/>
      <c r="Y6496" s="7"/>
      <c r="Z6496" s="7"/>
    </row>
    <row r="6497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7"/>
      <c r="U6497" s="7"/>
      <c r="V6497" s="7"/>
      <c r="W6497" s="7"/>
      <c r="X6497" s="7"/>
      <c r="Y6497" s="7"/>
      <c r="Z6497" s="7"/>
    </row>
    <row r="6498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7"/>
      <c r="U6498" s="7"/>
      <c r="V6498" s="7"/>
      <c r="W6498" s="7"/>
      <c r="X6498" s="7"/>
      <c r="Y6498" s="7"/>
      <c r="Z6498" s="7"/>
    </row>
    <row r="6499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/>
      <c r="S6499" s="7"/>
      <c r="T6499" s="7"/>
      <c r="U6499" s="7"/>
      <c r="V6499" s="7"/>
      <c r="W6499" s="7"/>
      <c r="X6499" s="7"/>
      <c r="Y6499" s="7"/>
      <c r="Z6499" s="7"/>
    </row>
    <row r="6500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7"/>
      <c r="L6500" s="7"/>
      <c r="M6500" s="7"/>
      <c r="N6500" s="7"/>
      <c r="O6500" s="7"/>
      <c r="P6500" s="7"/>
      <c r="Q6500" s="7"/>
      <c r="R6500" s="7"/>
      <c r="S6500" s="7"/>
      <c r="T6500" s="7"/>
      <c r="U6500" s="7"/>
      <c r="V6500" s="7"/>
      <c r="W6500" s="7"/>
      <c r="X6500" s="7"/>
      <c r="Y6500" s="7"/>
      <c r="Z6500" s="7"/>
    </row>
    <row r="6501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7"/>
      <c r="L6501" s="7"/>
      <c r="M6501" s="7"/>
      <c r="N6501" s="7"/>
      <c r="O6501" s="7"/>
      <c r="P6501" s="7"/>
      <c r="Q6501" s="7"/>
      <c r="R6501" s="7"/>
      <c r="S6501" s="7"/>
      <c r="T6501" s="7"/>
      <c r="U6501" s="7"/>
      <c r="V6501" s="7"/>
      <c r="W6501" s="7"/>
      <c r="X6501" s="7"/>
      <c r="Y6501" s="7"/>
      <c r="Z6501" s="7"/>
    </row>
    <row r="6502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7"/>
      <c r="L6502" s="7"/>
      <c r="M6502" s="7"/>
      <c r="N6502" s="7"/>
      <c r="O6502" s="7"/>
      <c r="P6502" s="7"/>
      <c r="Q6502" s="7"/>
      <c r="R6502" s="7"/>
      <c r="S6502" s="7"/>
      <c r="T6502" s="7"/>
      <c r="U6502" s="7"/>
      <c r="V6502" s="7"/>
      <c r="W6502" s="7"/>
      <c r="X6502" s="7"/>
      <c r="Y6502" s="7"/>
      <c r="Z6502" s="7"/>
    </row>
    <row r="6503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7"/>
      <c r="L6503" s="7"/>
      <c r="M6503" s="7"/>
      <c r="N6503" s="7"/>
      <c r="O6503" s="7"/>
      <c r="P6503" s="7"/>
      <c r="Q6503" s="7"/>
      <c r="R6503" s="7"/>
      <c r="S6503" s="7"/>
      <c r="T6503" s="7"/>
      <c r="U6503" s="7"/>
      <c r="V6503" s="7"/>
      <c r="W6503" s="7"/>
      <c r="X6503" s="7"/>
      <c r="Y6503" s="7"/>
      <c r="Z6503" s="7"/>
    </row>
    <row r="6504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7"/>
      <c r="L6504" s="7"/>
      <c r="M6504" s="7"/>
      <c r="N6504" s="7"/>
      <c r="O6504" s="7"/>
      <c r="P6504" s="7"/>
      <c r="Q6504" s="7"/>
      <c r="R6504" s="7"/>
      <c r="S6504" s="7"/>
      <c r="T6504" s="7"/>
      <c r="U6504" s="7"/>
      <c r="V6504" s="7"/>
      <c r="W6504" s="7"/>
      <c r="X6504" s="7"/>
      <c r="Y6504" s="7"/>
      <c r="Z6504" s="7"/>
    </row>
    <row r="650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7"/>
      <c r="L6505" s="7"/>
      <c r="M6505" s="7"/>
      <c r="N6505" s="7"/>
      <c r="O6505" s="7"/>
      <c r="P6505" s="7"/>
      <c r="Q6505" s="7"/>
      <c r="R6505" s="7"/>
      <c r="S6505" s="7"/>
      <c r="T6505" s="7"/>
      <c r="U6505" s="7"/>
      <c r="V6505" s="7"/>
      <c r="W6505" s="7"/>
      <c r="X6505" s="7"/>
      <c r="Y6505" s="7"/>
      <c r="Z6505" s="7"/>
    </row>
    <row r="6506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7"/>
      <c r="L6506" s="7"/>
      <c r="M6506" s="7"/>
      <c r="N6506" s="7"/>
      <c r="O6506" s="7"/>
      <c r="P6506" s="7"/>
      <c r="Q6506" s="7"/>
      <c r="R6506" s="7"/>
      <c r="S6506" s="7"/>
      <c r="T6506" s="7"/>
      <c r="U6506" s="7"/>
      <c r="V6506" s="7"/>
      <c r="W6506" s="7"/>
      <c r="X6506" s="7"/>
      <c r="Y6506" s="7"/>
      <c r="Z6506" s="7"/>
    </row>
    <row r="6507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7"/>
      <c r="L6507" s="7"/>
      <c r="M6507" s="7"/>
      <c r="N6507" s="7"/>
      <c r="O6507" s="7"/>
      <c r="P6507" s="7"/>
      <c r="Q6507" s="7"/>
      <c r="R6507" s="7"/>
      <c r="S6507" s="7"/>
      <c r="T6507" s="7"/>
      <c r="U6507" s="7"/>
      <c r="V6507" s="7"/>
      <c r="W6507" s="7"/>
      <c r="X6507" s="7"/>
      <c r="Y6507" s="7"/>
      <c r="Z6507" s="7"/>
    </row>
    <row r="6508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7"/>
      <c r="L6508" s="7"/>
      <c r="M6508" s="7"/>
      <c r="N6508" s="7"/>
      <c r="O6508" s="7"/>
      <c r="P6508" s="7"/>
      <c r="Q6508" s="7"/>
      <c r="R6508" s="7"/>
      <c r="S6508" s="7"/>
      <c r="T6508" s="7"/>
      <c r="U6508" s="7"/>
      <c r="V6508" s="7"/>
      <c r="W6508" s="7"/>
      <c r="X6508" s="7"/>
      <c r="Y6508" s="7"/>
      <c r="Z6508" s="7"/>
    </row>
    <row r="6509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7"/>
      <c r="L6509" s="7"/>
      <c r="M6509" s="7"/>
      <c r="N6509" s="7"/>
      <c r="O6509" s="7"/>
      <c r="P6509" s="7"/>
      <c r="Q6509" s="7"/>
      <c r="R6509" s="7"/>
      <c r="S6509" s="7"/>
      <c r="T6509" s="7"/>
      <c r="U6509" s="7"/>
      <c r="V6509" s="7"/>
      <c r="W6509" s="7"/>
      <c r="X6509" s="7"/>
      <c r="Y6509" s="7"/>
      <c r="Z6509" s="7"/>
    </row>
    <row r="6510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7"/>
      <c r="L6510" s="7"/>
      <c r="M6510" s="7"/>
      <c r="N6510" s="7"/>
      <c r="O6510" s="7"/>
      <c r="P6510" s="7"/>
      <c r="Q6510" s="7"/>
      <c r="R6510" s="7"/>
      <c r="S6510" s="7"/>
      <c r="T6510" s="7"/>
      <c r="U6510" s="7"/>
      <c r="V6510" s="7"/>
      <c r="W6510" s="7"/>
      <c r="X6510" s="7"/>
      <c r="Y6510" s="7"/>
      <c r="Z6510" s="7"/>
    </row>
    <row r="6511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7"/>
      <c r="L6511" s="7"/>
      <c r="M6511" s="7"/>
      <c r="N6511" s="7"/>
      <c r="O6511" s="7"/>
      <c r="P6511" s="7"/>
      <c r="Q6511" s="7"/>
      <c r="R6511" s="7"/>
      <c r="S6511" s="7"/>
      <c r="T6511" s="7"/>
      <c r="U6511" s="7"/>
      <c r="V6511" s="7"/>
      <c r="W6511" s="7"/>
      <c r="X6511" s="7"/>
      <c r="Y6511" s="7"/>
      <c r="Z6511" s="7"/>
    </row>
    <row r="6512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7"/>
      <c r="L6512" s="7"/>
      <c r="M6512" s="7"/>
      <c r="N6512" s="7"/>
      <c r="O6512" s="7"/>
      <c r="P6512" s="7"/>
      <c r="Q6512" s="7"/>
      <c r="R6512" s="7"/>
      <c r="S6512" s="7"/>
      <c r="T6512" s="7"/>
      <c r="U6512" s="7"/>
      <c r="V6512" s="7"/>
      <c r="W6512" s="7"/>
      <c r="X6512" s="7"/>
      <c r="Y6512" s="7"/>
      <c r="Z6512" s="7"/>
    </row>
    <row r="6513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7"/>
      <c r="L6513" s="7"/>
      <c r="M6513" s="7"/>
      <c r="N6513" s="7"/>
      <c r="O6513" s="7"/>
      <c r="P6513" s="7"/>
      <c r="Q6513" s="7"/>
      <c r="R6513" s="7"/>
      <c r="S6513" s="7"/>
      <c r="T6513" s="7"/>
      <c r="U6513" s="7"/>
      <c r="V6513" s="7"/>
      <c r="W6513" s="7"/>
      <c r="X6513" s="7"/>
      <c r="Y6513" s="7"/>
      <c r="Z6513" s="7"/>
    </row>
    <row r="6514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7"/>
      <c r="L6514" s="7"/>
      <c r="M6514" s="7"/>
      <c r="N6514" s="7"/>
      <c r="O6514" s="7"/>
      <c r="P6514" s="7"/>
      <c r="Q6514" s="7"/>
      <c r="R6514" s="7"/>
      <c r="S6514" s="7"/>
      <c r="T6514" s="7"/>
      <c r="U6514" s="7"/>
      <c r="V6514" s="7"/>
      <c r="W6514" s="7"/>
      <c r="X6514" s="7"/>
      <c r="Y6514" s="7"/>
      <c r="Z6514" s="7"/>
    </row>
    <row r="65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7"/>
      <c r="L6515" s="7"/>
      <c r="M6515" s="7"/>
      <c r="N6515" s="7"/>
      <c r="O6515" s="7"/>
      <c r="P6515" s="7"/>
      <c r="Q6515" s="7"/>
      <c r="R6515" s="7"/>
      <c r="S6515" s="7"/>
      <c r="T6515" s="7"/>
      <c r="U6515" s="7"/>
      <c r="V6515" s="7"/>
      <c r="W6515" s="7"/>
      <c r="X6515" s="7"/>
      <c r="Y6515" s="7"/>
      <c r="Z6515" s="7"/>
    </row>
    <row r="6516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7"/>
      <c r="L6516" s="7"/>
      <c r="M6516" s="7"/>
      <c r="N6516" s="7"/>
      <c r="O6516" s="7"/>
      <c r="P6516" s="7"/>
      <c r="Q6516" s="7"/>
      <c r="R6516" s="7"/>
      <c r="S6516" s="7"/>
      <c r="T6516" s="7"/>
      <c r="U6516" s="7"/>
      <c r="V6516" s="7"/>
      <c r="W6516" s="7"/>
      <c r="X6516" s="7"/>
      <c r="Y6516" s="7"/>
      <c r="Z6516" s="7"/>
    </row>
    <row r="6517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7"/>
      <c r="L6517" s="7"/>
      <c r="M6517" s="7"/>
      <c r="N6517" s="7"/>
      <c r="O6517" s="7"/>
      <c r="P6517" s="7"/>
      <c r="Q6517" s="7"/>
      <c r="R6517" s="7"/>
      <c r="S6517" s="7"/>
      <c r="T6517" s="7"/>
      <c r="U6517" s="7"/>
      <c r="V6517" s="7"/>
      <c r="W6517" s="7"/>
      <c r="X6517" s="7"/>
      <c r="Y6517" s="7"/>
      <c r="Z6517" s="7"/>
    </row>
    <row r="6518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7"/>
      <c r="L6518" s="7"/>
      <c r="M6518" s="7"/>
      <c r="N6518" s="7"/>
      <c r="O6518" s="7"/>
      <c r="P6518" s="7"/>
      <c r="Q6518" s="7"/>
      <c r="R6518" s="7"/>
      <c r="S6518" s="7"/>
      <c r="T6518" s="7"/>
      <c r="U6518" s="7"/>
      <c r="V6518" s="7"/>
      <c r="W6518" s="7"/>
      <c r="X6518" s="7"/>
      <c r="Y6518" s="7"/>
      <c r="Z6518" s="7"/>
    </row>
    <row r="6519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7"/>
      <c r="L6519" s="7"/>
      <c r="M6519" s="7"/>
      <c r="N6519" s="7"/>
      <c r="O6519" s="7"/>
      <c r="P6519" s="7"/>
      <c r="Q6519" s="7"/>
      <c r="R6519" s="7"/>
      <c r="S6519" s="7"/>
      <c r="T6519" s="7"/>
      <c r="U6519" s="7"/>
      <c r="V6519" s="7"/>
      <c r="W6519" s="7"/>
      <c r="X6519" s="7"/>
      <c r="Y6519" s="7"/>
      <c r="Z6519" s="7"/>
    </row>
    <row r="6520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7"/>
      <c r="L6520" s="7"/>
      <c r="M6520" s="7"/>
      <c r="N6520" s="7"/>
      <c r="O6520" s="7"/>
      <c r="P6520" s="7"/>
      <c r="Q6520" s="7"/>
      <c r="R6520" s="7"/>
      <c r="S6520" s="7"/>
      <c r="T6520" s="7"/>
      <c r="U6520" s="7"/>
      <c r="V6520" s="7"/>
      <c r="W6520" s="7"/>
      <c r="X6520" s="7"/>
      <c r="Y6520" s="7"/>
      <c r="Z6520" s="7"/>
    </row>
    <row r="6521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7"/>
      <c r="L6521" s="7"/>
      <c r="M6521" s="7"/>
      <c r="N6521" s="7"/>
      <c r="O6521" s="7"/>
      <c r="P6521" s="7"/>
      <c r="Q6521" s="7"/>
      <c r="R6521" s="7"/>
      <c r="S6521" s="7"/>
      <c r="T6521" s="7"/>
      <c r="U6521" s="7"/>
      <c r="V6521" s="7"/>
      <c r="W6521" s="7"/>
      <c r="X6521" s="7"/>
      <c r="Y6521" s="7"/>
      <c r="Z6521" s="7"/>
    </row>
    <row r="6522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7"/>
      <c r="L6522" s="7"/>
      <c r="M6522" s="7"/>
      <c r="N6522" s="7"/>
      <c r="O6522" s="7"/>
      <c r="P6522" s="7"/>
      <c r="Q6522" s="7"/>
      <c r="R6522" s="7"/>
      <c r="S6522" s="7"/>
      <c r="T6522" s="7"/>
      <c r="U6522" s="7"/>
      <c r="V6522" s="7"/>
      <c r="W6522" s="7"/>
      <c r="X6522" s="7"/>
      <c r="Y6522" s="7"/>
      <c r="Z6522" s="7"/>
    </row>
    <row r="6523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7"/>
      <c r="L6523" s="7"/>
      <c r="M6523" s="7"/>
      <c r="N6523" s="7"/>
      <c r="O6523" s="7"/>
      <c r="P6523" s="7"/>
      <c r="Q6523" s="7"/>
      <c r="R6523" s="7"/>
      <c r="S6523" s="7"/>
      <c r="T6523" s="7"/>
      <c r="U6523" s="7"/>
      <c r="V6523" s="7"/>
      <c r="W6523" s="7"/>
      <c r="X6523" s="7"/>
      <c r="Y6523" s="7"/>
      <c r="Z6523" s="7"/>
    </row>
    <row r="6524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7"/>
      <c r="L6524" s="7"/>
      <c r="M6524" s="7"/>
      <c r="N6524" s="7"/>
      <c r="O6524" s="7"/>
      <c r="P6524" s="7"/>
      <c r="Q6524" s="7"/>
      <c r="R6524" s="7"/>
      <c r="S6524" s="7"/>
      <c r="T6524" s="7"/>
      <c r="U6524" s="7"/>
      <c r="V6524" s="7"/>
      <c r="W6524" s="7"/>
      <c r="X6524" s="7"/>
      <c r="Y6524" s="7"/>
      <c r="Z6524" s="7"/>
    </row>
    <row r="652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7"/>
      <c r="L6525" s="7"/>
      <c r="M6525" s="7"/>
      <c r="N6525" s="7"/>
      <c r="O6525" s="7"/>
      <c r="P6525" s="7"/>
      <c r="Q6525" s="7"/>
      <c r="R6525" s="7"/>
      <c r="S6525" s="7"/>
      <c r="T6525" s="7"/>
      <c r="U6525" s="7"/>
      <c r="V6525" s="7"/>
      <c r="W6525" s="7"/>
      <c r="X6525" s="7"/>
      <c r="Y6525" s="7"/>
      <c r="Z6525" s="7"/>
    </row>
    <row r="6526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7"/>
      <c r="L6526" s="7"/>
      <c r="M6526" s="7"/>
      <c r="N6526" s="7"/>
      <c r="O6526" s="7"/>
      <c r="P6526" s="7"/>
      <c r="Q6526" s="7"/>
      <c r="R6526" s="7"/>
      <c r="S6526" s="7"/>
      <c r="T6526" s="7"/>
      <c r="U6526" s="7"/>
      <c r="V6526" s="7"/>
      <c r="W6526" s="7"/>
      <c r="X6526" s="7"/>
      <c r="Y6526" s="7"/>
      <c r="Z6526" s="7"/>
    </row>
    <row r="6527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7"/>
      <c r="L6527" s="7"/>
      <c r="M6527" s="7"/>
      <c r="N6527" s="7"/>
      <c r="O6527" s="7"/>
      <c r="P6527" s="7"/>
      <c r="Q6527" s="7"/>
      <c r="R6527" s="7"/>
      <c r="S6527" s="7"/>
      <c r="T6527" s="7"/>
      <c r="U6527" s="7"/>
      <c r="V6527" s="7"/>
      <c r="W6527" s="7"/>
      <c r="X6527" s="7"/>
      <c r="Y6527" s="7"/>
      <c r="Z6527" s="7"/>
    </row>
    <row r="6528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7"/>
      <c r="L6528" s="7"/>
      <c r="M6528" s="7"/>
      <c r="N6528" s="7"/>
      <c r="O6528" s="7"/>
      <c r="P6528" s="7"/>
      <c r="Q6528" s="7"/>
      <c r="R6528" s="7"/>
      <c r="S6528" s="7"/>
      <c r="T6528" s="7"/>
      <c r="U6528" s="7"/>
      <c r="V6528" s="7"/>
      <c r="W6528" s="7"/>
      <c r="X6528" s="7"/>
      <c r="Y6528" s="7"/>
      <c r="Z6528" s="7"/>
    </row>
    <row r="6529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7"/>
      <c r="L6529" s="7"/>
      <c r="M6529" s="7"/>
      <c r="N6529" s="7"/>
      <c r="O6529" s="7"/>
      <c r="P6529" s="7"/>
      <c r="Q6529" s="7"/>
      <c r="R6529" s="7"/>
      <c r="S6529" s="7"/>
      <c r="T6529" s="7"/>
      <c r="U6529" s="7"/>
      <c r="V6529" s="7"/>
      <c r="W6529" s="7"/>
      <c r="X6529" s="7"/>
      <c r="Y6529" s="7"/>
      <c r="Z6529" s="7"/>
    </row>
    <row r="6530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7"/>
      <c r="L6530" s="7"/>
      <c r="M6530" s="7"/>
      <c r="N6530" s="7"/>
      <c r="O6530" s="7"/>
      <c r="P6530" s="7"/>
      <c r="Q6530" s="7"/>
      <c r="R6530" s="7"/>
      <c r="S6530" s="7"/>
      <c r="T6530" s="7"/>
      <c r="U6530" s="7"/>
      <c r="V6530" s="7"/>
      <c r="W6530" s="7"/>
      <c r="X6530" s="7"/>
      <c r="Y6530" s="7"/>
      <c r="Z6530" s="7"/>
    </row>
    <row r="6531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7"/>
      <c r="L6531" s="7"/>
      <c r="M6531" s="7"/>
      <c r="N6531" s="7"/>
      <c r="O6531" s="7"/>
      <c r="P6531" s="7"/>
      <c r="Q6531" s="7"/>
      <c r="R6531" s="7"/>
      <c r="S6531" s="7"/>
      <c r="T6531" s="7"/>
      <c r="U6531" s="7"/>
      <c r="V6531" s="7"/>
      <c r="W6531" s="7"/>
      <c r="X6531" s="7"/>
      <c r="Y6531" s="7"/>
      <c r="Z6531" s="7"/>
    </row>
    <row r="6532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7"/>
      <c r="L6532" s="7"/>
      <c r="M6532" s="7"/>
      <c r="N6532" s="7"/>
      <c r="O6532" s="7"/>
      <c r="P6532" s="7"/>
      <c r="Q6532" s="7"/>
      <c r="R6532" s="7"/>
      <c r="S6532" s="7"/>
      <c r="T6532" s="7"/>
      <c r="U6532" s="7"/>
      <c r="V6532" s="7"/>
      <c r="W6532" s="7"/>
      <c r="X6532" s="7"/>
      <c r="Y6532" s="7"/>
      <c r="Z6532" s="7"/>
    </row>
    <row r="6533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7"/>
      <c r="L6533" s="7"/>
      <c r="M6533" s="7"/>
      <c r="N6533" s="7"/>
      <c r="O6533" s="7"/>
      <c r="P6533" s="7"/>
      <c r="Q6533" s="7"/>
      <c r="R6533" s="7"/>
      <c r="S6533" s="7"/>
      <c r="T6533" s="7"/>
      <c r="U6533" s="7"/>
      <c r="V6533" s="7"/>
      <c r="W6533" s="7"/>
      <c r="X6533" s="7"/>
      <c r="Y6533" s="7"/>
      <c r="Z6533" s="7"/>
    </row>
    <row r="6534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7"/>
      <c r="L6534" s="7"/>
      <c r="M6534" s="7"/>
      <c r="N6534" s="7"/>
      <c r="O6534" s="7"/>
      <c r="P6534" s="7"/>
      <c r="Q6534" s="7"/>
      <c r="R6534" s="7"/>
      <c r="S6534" s="7"/>
      <c r="T6534" s="7"/>
      <c r="U6534" s="7"/>
      <c r="V6534" s="7"/>
      <c r="W6534" s="7"/>
      <c r="X6534" s="7"/>
      <c r="Y6534" s="7"/>
      <c r="Z6534" s="7"/>
    </row>
    <row r="653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7"/>
      <c r="L6535" s="7"/>
      <c r="M6535" s="7"/>
      <c r="N6535" s="7"/>
      <c r="O6535" s="7"/>
      <c r="P6535" s="7"/>
      <c r="Q6535" s="7"/>
      <c r="R6535" s="7"/>
      <c r="S6535" s="7"/>
      <c r="T6535" s="7"/>
      <c r="U6535" s="7"/>
      <c r="V6535" s="7"/>
      <c r="W6535" s="7"/>
      <c r="X6535" s="7"/>
      <c r="Y6535" s="7"/>
      <c r="Z6535" s="7"/>
    </row>
    <row r="6536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7"/>
      <c r="L6536" s="7"/>
      <c r="M6536" s="7"/>
      <c r="N6536" s="7"/>
      <c r="O6536" s="7"/>
      <c r="P6536" s="7"/>
      <c r="Q6536" s="7"/>
      <c r="R6536" s="7"/>
      <c r="S6536" s="7"/>
      <c r="T6536" s="7"/>
      <c r="U6536" s="7"/>
      <c r="V6536" s="7"/>
      <c r="W6536" s="7"/>
      <c r="X6536" s="7"/>
      <c r="Y6536" s="7"/>
      <c r="Z6536" s="7"/>
    </row>
    <row r="6537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7"/>
      <c r="L6537" s="7"/>
      <c r="M6537" s="7"/>
      <c r="N6537" s="7"/>
      <c r="O6537" s="7"/>
      <c r="P6537" s="7"/>
      <c r="Q6537" s="7"/>
      <c r="R6537" s="7"/>
      <c r="S6537" s="7"/>
      <c r="T6537" s="7"/>
      <c r="U6537" s="7"/>
      <c r="V6537" s="7"/>
      <c r="W6537" s="7"/>
      <c r="X6537" s="7"/>
      <c r="Y6537" s="7"/>
      <c r="Z6537" s="7"/>
    </row>
    <row r="6538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7"/>
      <c r="L6538" s="7"/>
      <c r="M6538" s="7"/>
      <c r="N6538" s="7"/>
      <c r="O6538" s="7"/>
      <c r="P6538" s="7"/>
      <c r="Q6538" s="7"/>
      <c r="R6538" s="7"/>
      <c r="S6538" s="7"/>
      <c r="T6538" s="7"/>
      <c r="U6538" s="7"/>
      <c r="V6538" s="7"/>
      <c r="W6538" s="7"/>
      <c r="X6538" s="7"/>
      <c r="Y6538" s="7"/>
      <c r="Z6538" s="7"/>
    </row>
    <row r="6539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7"/>
      <c r="L6539" s="7"/>
      <c r="M6539" s="7"/>
      <c r="N6539" s="7"/>
      <c r="O6539" s="7"/>
      <c r="P6539" s="7"/>
      <c r="Q6539" s="7"/>
      <c r="R6539" s="7"/>
      <c r="S6539" s="7"/>
      <c r="T6539" s="7"/>
      <c r="U6539" s="7"/>
      <c r="V6539" s="7"/>
      <c r="W6539" s="7"/>
      <c r="X6539" s="7"/>
      <c r="Y6539" s="7"/>
      <c r="Z6539" s="7"/>
    </row>
    <row r="6540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7"/>
      <c r="L6540" s="7"/>
      <c r="M6540" s="7"/>
      <c r="N6540" s="7"/>
      <c r="O6540" s="7"/>
      <c r="P6540" s="7"/>
      <c r="Q6540" s="7"/>
      <c r="R6540" s="7"/>
      <c r="S6540" s="7"/>
      <c r="T6540" s="7"/>
      <c r="U6540" s="7"/>
      <c r="V6540" s="7"/>
      <c r="W6540" s="7"/>
      <c r="X6540" s="7"/>
      <c r="Y6540" s="7"/>
      <c r="Z6540" s="7"/>
    </row>
    <row r="6541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7"/>
      <c r="L6541" s="7"/>
      <c r="M6541" s="7"/>
      <c r="N6541" s="7"/>
      <c r="O6541" s="7"/>
      <c r="P6541" s="7"/>
      <c r="Q6541" s="7"/>
      <c r="R6541" s="7"/>
      <c r="S6541" s="7"/>
      <c r="T6541" s="7"/>
      <c r="U6541" s="7"/>
      <c r="V6541" s="7"/>
      <c r="W6541" s="7"/>
      <c r="X6541" s="7"/>
      <c r="Y6541" s="7"/>
      <c r="Z6541" s="7"/>
    </row>
    <row r="6542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7"/>
      <c r="L6542" s="7"/>
      <c r="M6542" s="7"/>
      <c r="N6542" s="7"/>
      <c r="O6542" s="7"/>
      <c r="P6542" s="7"/>
      <c r="Q6542" s="7"/>
      <c r="R6542" s="7"/>
      <c r="S6542" s="7"/>
      <c r="T6542" s="7"/>
      <c r="U6542" s="7"/>
      <c r="V6542" s="7"/>
      <c r="W6542" s="7"/>
      <c r="X6542" s="7"/>
      <c r="Y6542" s="7"/>
      <c r="Z6542" s="7"/>
    </row>
    <row r="6543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7"/>
      <c r="L6543" s="7"/>
      <c r="M6543" s="7"/>
      <c r="N6543" s="7"/>
      <c r="O6543" s="7"/>
      <c r="P6543" s="7"/>
      <c r="Q6543" s="7"/>
      <c r="R6543" s="7"/>
      <c r="S6543" s="7"/>
      <c r="T6543" s="7"/>
      <c r="U6543" s="7"/>
      <c r="V6543" s="7"/>
      <c r="W6543" s="7"/>
      <c r="X6543" s="7"/>
      <c r="Y6543" s="7"/>
      <c r="Z6543" s="7"/>
    </row>
    <row r="6544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7"/>
      <c r="L6544" s="7"/>
      <c r="M6544" s="7"/>
      <c r="N6544" s="7"/>
      <c r="O6544" s="7"/>
      <c r="P6544" s="7"/>
      <c r="Q6544" s="7"/>
      <c r="R6544" s="7"/>
      <c r="S6544" s="7"/>
      <c r="T6544" s="7"/>
      <c r="U6544" s="7"/>
      <c r="V6544" s="7"/>
      <c r="W6544" s="7"/>
      <c r="X6544" s="7"/>
      <c r="Y6544" s="7"/>
      <c r="Z6544" s="7"/>
    </row>
    <row r="654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7"/>
      <c r="L6545" s="7"/>
      <c r="M6545" s="7"/>
      <c r="N6545" s="7"/>
      <c r="O6545" s="7"/>
      <c r="P6545" s="7"/>
      <c r="Q6545" s="7"/>
      <c r="R6545" s="7"/>
      <c r="S6545" s="7"/>
      <c r="T6545" s="7"/>
      <c r="U6545" s="7"/>
      <c r="V6545" s="7"/>
      <c r="W6545" s="7"/>
      <c r="X6545" s="7"/>
      <c r="Y6545" s="7"/>
      <c r="Z6545" s="7"/>
    </row>
    <row r="6546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7"/>
      <c r="L6546" s="7"/>
      <c r="M6546" s="7"/>
      <c r="N6546" s="7"/>
      <c r="O6546" s="7"/>
      <c r="P6546" s="7"/>
      <c r="Q6546" s="7"/>
      <c r="R6546" s="7"/>
      <c r="S6546" s="7"/>
      <c r="T6546" s="7"/>
      <c r="U6546" s="7"/>
      <c r="V6546" s="7"/>
      <c r="W6546" s="7"/>
      <c r="X6546" s="7"/>
      <c r="Y6546" s="7"/>
      <c r="Z6546" s="7"/>
    </row>
    <row r="6547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7"/>
      <c r="L6547" s="7"/>
      <c r="M6547" s="7"/>
      <c r="N6547" s="7"/>
      <c r="O6547" s="7"/>
      <c r="P6547" s="7"/>
      <c r="Q6547" s="7"/>
      <c r="R6547" s="7"/>
      <c r="S6547" s="7"/>
      <c r="T6547" s="7"/>
      <c r="U6547" s="7"/>
      <c r="V6547" s="7"/>
      <c r="W6547" s="7"/>
      <c r="X6547" s="7"/>
      <c r="Y6547" s="7"/>
      <c r="Z6547" s="7"/>
    </row>
    <row r="6548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7"/>
      <c r="L6548" s="7"/>
      <c r="M6548" s="7"/>
      <c r="N6548" s="7"/>
      <c r="O6548" s="7"/>
      <c r="P6548" s="7"/>
      <c r="Q6548" s="7"/>
      <c r="R6548" s="7"/>
      <c r="S6548" s="7"/>
      <c r="T6548" s="7"/>
      <c r="U6548" s="7"/>
      <c r="V6548" s="7"/>
      <c r="W6548" s="7"/>
      <c r="X6548" s="7"/>
      <c r="Y6548" s="7"/>
      <c r="Z6548" s="7"/>
    </row>
    <row r="6549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7"/>
      <c r="L6549" s="7"/>
      <c r="M6549" s="7"/>
      <c r="N6549" s="7"/>
      <c r="O6549" s="7"/>
      <c r="P6549" s="7"/>
      <c r="Q6549" s="7"/>
      <c r="R6549" s="7"/>
      <c r="S6549" s="7"/>
      <c r="T6549" s="7"/>
      <c r="U6549" s="7"/>
      <c r="V6549" s="7"/>
      <c r="W6549" s="7"/>
      <c r="X6549" s="7"/>
      <c r="Y6549" s="7"/>
      <c r="Z6549" s="7"/>
    </row>
    <row r="6550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7"/>
      <c r="L6550" s="7"/>
      <c r="M6550" s="7"/>
      <c r="N6550" s="7"/>
      <c r="O6550" s="7"/>
      <c r="P6550" s="7"/>
      <c r="Q6550" s="7"/>
      <c r="R6550" s="7"/>
      <c r="S6550" s="7"/>
      <c r="T6550" s="7"/>
      <c r="U6550" s="7"/>
      <c r="V6550" s="7"/>
      <c r="W6550" s="7"/>
      <c r="X6550" s="7"/>
      <c r="Y6550" s="7"/>
      <c r="Z6550" s="7"/>
    </row>
    <row r="6551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7"/>
      <c r="L6551" s="7"/>
      <c r="M6551" s="7"/>
      <c r="N6551" s="7"/>
      <c r="O6551" s="7"/>
      <c r="P6551" s="7"/>
      <c r="Q6551" s="7"/>
      <c r="R6551" s="7"/>
      <c r="S6551" s="7"/>
      <c r="T6551" s="7"/>
      <c r="U6551" s="7"/>
      <c r="V6551" s="7"/>
      <c r="W6551" s="7"/>
      <c r="X6551" s="7"/>
      <c r="Y6551" s="7"/>
      <c r="Z6551" s="7"/>
    </row>
    <row r="6552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7"/>
      <c r="L6552" s="7"/>
      <c r="M6552" s="7"/>
      <c r="N6552" s="7"/>
      <c r="O6552" s="7"/>
      <c r="P6552" s="7"/>
      <c r="Q6552" s="7"/>
      <c r="R6552" s="7"/>
      <c r="S6552" s="7"/>
      <c r="T6552" s="7"/>
      <c r="U6552" s="7"/>
      <c r="V6552" s="7"/>
      <c r="W6552" s="7"/>
      <c r="X6552" s="7"/>
      <c r="Y6552" s="7"/>
      <c r="Z6552" s="7"/>
    </row>
    <row r="6553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7"/>
      <c r="L6553" s="7"/>
      <c r="M6553" s="7"/>
      <c r="N6553" s="7"/>
      <c r="O6553" s="7"/>
      <c r="P6553" s="7"/>
      <c r="Q6553" s="7"/>
      <c r="R6553" s="7"/>
      <c r="S6553" s="7"/>
      <c r="T6553" s="7"/>
      <c r="U6553" s="7"/>
      <c r="V6553" s="7"/>
      <c r="W6553" s="7"/>
      <c r="X6553" s="7"/>
      <c r="Y6553" s="7"/>
      <c r="Z6553" s="7"/>
    </row>
    <row r="6554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7"/>
      <c r="L6554" s="7"/>
      <c r="M6554" s="7"/>
      <c r="N6554" s="7"/>
      <c r="O6554" s="7"/>
      <c r="P6554" s="7"/>
      <c r="Q6554" s="7"/>
      <c r="R6554" s="7"/>
      <c r="S6554" s="7"/>
      <c r="T6554" s="7"/>
      <c r="U6554" s="7"/>
      <c r="V6554" s="7"/>
      <c r="W6554" s="7"/>
      <c r="X6554" s="7"/>
      <c r="Y6554" s="7"/>
      <c r="Z6554" s="7"/>
    </row>
    <row r="655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7"/>
      <c r="L6555" s="7"/>
      <c r="M6555" s="7"/>
      <c r="N6555" s="7"/>
      <c r="O6555" s="7"/>
      <c r="P6555" s="7"/>
      <c r="Q6555" s="7"/>
      <c r="R6555" s="7"/>
      <c r="S6555" s="7"/>
      <c r="T6555" s="7"/>
      <c r="U6555" s="7"/>
      <c r="V6555" s="7"/>
      <c r="W6555" s="7"/>
      <c r="X6555" s="7"/>
      <c r="Y6555" s="7"/>
      <c r="Z6555" s="7"/>
    </row>
    <row r="6556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7"/>
      <c r="L6556" s="7"/>
      <c r="M6556" s="7"/>
      <c r="N6556" s="7"/>
      <c r="O6556" s="7"/>
      <c r="P6556" s="7"/>
      <c r="Q6556" s="7"/>
      <c r="R6556" s="7"/>
      <c r="S6556" s="7"/>
      <c r="T6556" s="7"/>
      <c r="U6556" s="7"/>
      <c r="V6556" s="7"/>
      <c r="W6556" s="7"/>
      <c r="X6556" s="7"/>
      <c r="Y6556" s="7"/>
      <c r="Z6556" s="7"/>
    </row>
    <row r="6557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7"/>
      <c r="L6557" s="7"/>
      <c r="M6557" s="7"/>
      <c r="N6557" s="7"/>
      <c r="O6557" s="7"/>
      <c r="P6557" s="7"/>
      <c r="Q6557" s="7"/>
      <c r="R6557" s="7"/>
      <c r="S6557" s="7"/>
      <c r="T6557" s="7"/>
      <c r="U6557" s="7"/>
      <c r="V6557" s="7"/>
      <c r="W6557" s="7"/>
      <c r="X6557" s="7"/>
      <c r="Y6557" s="7"/>
      <c r="Z6557" s="7"/>
    </row>
    <row r="6558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7"/>
      <c r="L6558" s="7"/>
      <c r="M6558" s="7"/>
      <c r="N6558" s="7"/>
      <c r="O6558" s="7"/>
      <c r="P6558" s="7"/>
      <c r="Q6558" s="7"/>
      <c r="R6558" s="7"/>
      <c r="S6558" s="7"/>
      <c r="T6558" s="7"/>
      <c r="U6558" s="7"/>
      <c r="V6558" s="7"/>
      <c r="W6558" s="7"/>
      <c r="X6558" s="7"/>
      <c r="Y6558" s="7"/>
      <c r="Z6558" s="7"/>
    </row>
    <row r="6559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7"/>
      <c r="L6559" s="7"/>
      <c r="M6559" s="7"/>
      <c r="N6559" s="7"/>
      <c r="O6559" s="7"/>
      <c r="P6559" s="7"/>
      <c r="Q6559" s="7"/>
      <c r="R6559" s="7"/>
      <c r="S6559" s="7"/>
      <c r="T6559" s="7"/>
      <c r="U6559" s="7"/>
      <c r="V6559" s="7"/>
      <c r="W6559" s="7"/>
      <c r="X6559" s="7"/>
      <c r="Y6559" s="7"/>
      <c r="Z6559" s="7"/>
    </row>
    <row r="6560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7"/>
      <c r="L6560" s="7"/>
      <c r="M6560" s="7"/>
      <c r="N6560" s="7"/>
      <c r="O6560" s="7"/>
      <c r="P6560" s="7"/>
      <c r="Q6560" s="7"/>
      <c r="R6560" s="7"/>
      <c r="S6560" s="7"/>
      <c r="T6560" s="7"/>
      <c r="U6560" s="7"/>
      <c r="V6560" s="7"/>
      <c r="W6560" s="7"/>
      <c r="X6560" s="7"/>
      <c r="Y6560" s="7"/>
      <c r="Z6560" s="7"/>
    </row>
    <row r="6561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7"/>
      <c r="L6561" s="7"/>
      <c r="M6561" s="7"/>
      <c r="N6561" s="7"/>
      <c r="O6561" s="7"/>
      <c r="P6561" s="7"/>
      <c r="Q6561" s="7"/>
      <c r="R6561" s="7"/>
      <c r="S6561" s="7"/>
      <c r="T6561" s="7"/>
      <c r="U6561" s="7"/>
      <c r="V6561" s="7"/>
      <c r="W6561" s="7"/>
      <c r="X6561" s="7"/>
      <c r="Y6561" s="7"/>
      <c r="Z6561" s="7"/>
    </row>
    <row r="6562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7"/>
      <c r="L6562" s="7"/>
      <c r="M6562" s="7"/>
      <c r="N6562" s="7"/>
      <c r="O6562" s="7"/>
      <c r="P6562" s="7"/>
      <c r="Q6562" s="7"/>
      <c r="R6562" s="7"/>
      <c r="S6562" s="7"/>
      <c r="T6562" s="7"/>
      <c r="U6562" s="7"/>
      <c r="V6562" s="7"/>
      <c r="W6562" s="7"/>
      <c r="X6562" s="7"/>
      <c r="Y6562" s="7"/>
      <c r="Z6562" s="7"/>
    </row>
    <row r="6563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7"/>
      <c r="L6563" s="7"/>
      <c r="M6563" s="7"/>
      <c r="N6563" s="7"/>
      <c r="O6563" s="7"/>
      <c r="P6563" s="7"/>
      <c r="Q6563" s="7"/>
      <c r="R6563" s="7"/>
      <c r="S6563" s="7"/>
      <c r="T6563" s="7"/>
      <c r="U6563" s="7"/>
      <c r="V6563" s="7"/>
      <c r="W6563" s="7"/>
      <c r="X6563" s="7"/>
      <c r="Y6563" s="7"/>
      <c r="Z6563" s="7"/>
    </row>
    <row r="6564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7"/>
      <c r="L6564" s="7"/>
      <c r="M6564" s="7"/>
      <c r="N6564" s="7"/>
      <c r="O6564" s="7"/>
      <c r="P6564" s="7"/>
      <c r="Q6564" s="7"/>
      <c r="R6564" s="7"/>
      <c r="S6564" s="7"/>
      <c r="T6564" s="7"/>
      <c r="U6564" s="7"/>
      <c r="V6564" s="7"/>
      <c r="W6564" s="7"/>
      <c r="X6564" s="7"/>
      <c r="Y6564" s="7"/>
      <c r="Z6564" s="7"/>
    </row>
    <row r="656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7"/>
      <c r="L6565" s="7"/>
      <c r="M6565" s="7"/>
      <c r="N6565" s="7"/>
      <c r="O6565" s="7"/>
      <c r="P6565" s="7"/>
      <c r="Q6565" s="7"/>
      <c r="R6565" s="7"/>
      <c r="S6565" s="7"/>
      <c r="T6565" s="7"/>
      <c r="U6565" s="7"/>
      <c r="V6565" s="7"/>
      <c r="W6565" s="7"/>
      <c r="X6565" s="7"/>
      <c r="Y6565" s="7"/>
      <c r="Z6565" s="7"/>
    </row>
    <row r="6566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7"/>
      <c r="L6566" s="7"/>
      <c r="M6566" s="7"/>
      <c r="N6566" s="7"/>
      <c r="O6566" s="7"/>
      <c r="P6566" s="7"/>
      <c r="Q6566" s="7"/>
      <c r="R6566" s="7"/>
      <c r="S6566" s="7"/>
      <c r="T6566" s="7"/>
      <c r="U6566" s="7"/>
      <c r="V6566" s="7"/>
      <c r="W6566" s="7"/>
      <c r="X6566" s="7"/>
      <c r="Y6566" s="7"/>
      <c r="Z6566" s="7"/>
    </row>
    <row r="6567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7"/>
      <c r="L6567" s="7"/>
      <c r="M6567" s="7"/>
      <c r="N6567" s="7"/>
      <c r="O6567" s="7"/>
      <c r="P6567" s="7"/>
      <c r="Q6567" s="7"/>
      <c r="R6567" s="7"/>
      <c r="S6567" s="7"/>
      <c r="T6567" s="7"/>
      <c r="U6567" s="7"/>
      <c r="V6567" s="7"/>
      <c r="W6567" s="7"/>
      <c r="X6567" s="7"/>
      <c r="Y6567" s="7"/>
      <c r="Z6567" s="7"/>
    </row>
    <row r="6568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7"/>
      <c r="L6568" s="7"/>
      <c r="M6568" s="7"/>
      <c r="N6568" s="7"/>
      <c r="O6568" s="7"/>
      <c r="P6568" s="7"/>
      <c r="Q6568" s="7"/>
      <c r="R6568" s="7"/>
      <c r="S6568" s="7"/>
      <c r="T6568" s="7"/>
      <c r="U6568" s="7"/>
      <c r="V6568" s="7"/>
      <c r="W6568" s="7"/>
      <c r="X6568" s="7"/>
      <c r="Y6568" s="7"/>
      <c r="Z6568" s="7"/>
    </row>
    <row r="6569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7"/>
      <c r="L6569" s="7"/>
      <c r="M6569" s="7"/>
      <c r="N6569" s="7"/>
      <c r="O6569" s="7"/>
      <c r="P6569" s="7"/>
      <c r="Q6569" s="7"/>
      <c r="R6569" s="7"/>
      <c r="S6569" s="7"/>
      <c r="T6569" s="7"/>
      <c r="U6569" s="7"/>
      <c r="V6569" s="7"/>
      <c r="W6569" s="7"/>
      <c r="X6569" s="7"/>
      <c r="Y6569" s="7"/>
      <c r="Z6569" s="7"/>
    </row>
    <row r="6570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7"/>
      <c r="L6570" s="7"/>
      <c r="M6570" s="7"/>
      <c r="N6570" s="7"/>
      <c r="O6570" s="7"/>
      <c r="P6570" s="7"/>
      <c r="Q6570" s="7"/>
      <c r="R6570" s="7"/>
      <c r="S6570" s="7"/>
      <c r="T6570" s="7"/>
      <c r="U6570" s="7"/>
      <c r="V6570" s="7"/>
      <c r="W6570" s="7"/>
      <c r="X6570" s="7"/>
      <c r="Y6570" s="7"/>
      <c r="Z6570" s="7"/>
    </row>
    <row r="6571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7"/>
      <c r="L6571" s="7"/>
      <c r="M6571" s="7"/>
      <c r="N6571" s="7"/>
      <c r="O6571" s="7"/>
      <c r="P6571" s="7"/>
      <c r="Q6571" s="7"/>
      <c r="R6571" s="7"/>
      <c r="S6571" s="7"/>
      <c r="T6571" s="7"/>
      <c r="U6571" s="7"/>
      <c r="V6571" s="7"/>
      <c r="W6571" s="7"/>
      <c r="X6571" s="7"/>
      <c r="Y6571" s="7"/>
      <c r="Z6571" s="7"/>
    </row>
    <row r="6572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7"/>
      <c r="L6572" s="7"/>
      <c r="M6572" s="7"/>
      <c r="N6572" s="7"/>
      <c r="O6572" s="7"/>
      <c r="P6572" s="7"/>
      <c r="Q6572" s="7"/>
      <c r="R6572" s="7"/>
      <c r="S6572" s="7"/>
      <c r="T6572" s="7"/>
      <c r="U6572" s="7"/>
      <c r="V6572" s="7"/>
      <c r="W6572" s="7"/>
      <c r="X6572" s="7"/>
      <c r="Y6572" s="7"/>
      <c r="Z6572" s="7"/>
    </row>
    <row r="6573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7"/>
      <c r="L6573" s="7"/>
      <c r="M6573" s="7"/>
      <c r="N6573" s="7"/>
      <c r="O6573" s="7"/>
      <c r="P6573" s="7"/>
      <c r="Q6573" s="7"/>
      <c r="R6573" s="7"/>
      <c r="S6573" s="7"/>
      <c r="T6573" s="7"/>
      <c r="U6573" s="7"/>
      <c r="V6573" s="7"/>
      <c r="W6573" s="7"/>
      <c r="X6573" s="7"/>
      <c r="Y6573" s="7"/>
      <c r="Z6573" s="7"/>
    </row>
    <row r="6574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7"/>
      <c r="L6574" s="7"/>
      <c r="M6574" s="7"/>
      <c r="N6574" s="7"/>
      <c r="O6574" s="7"/>
      <c r="P6574" s="7"/>
      <c r="Q6574" s="7"/>
      <c r="R6574" s="7"/>
      <c r="S6574" s="7"/>
      <c r="T6574" s="7"/>
      <c r="U6574" s="7"/>
      <c r="V6574" s="7"/>
      <c r="W6574" s="7"/>
      <c r="X6574" s="7"/>
      <c r="Y6574" s="7"/>
      <c r="Z6574" s="7"/>
    </row>
    <row r="657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7"/>
      <c r="L6575" s="7"/>
      <c r="M6575" s="7"/>
      <c r="N6575" s="7"/>
      <c r="O6575" s="7"/>
      <c r="P6575" s="7"/>
      <c r="Q6575" s="7"/>
      <c r="R6575" s="7"/>
      <c r="S6575" s="7"/>
      <c r="T6575" s="7"/>
      <c r="U6575" s="7"/>
      <c r="V6575" s="7"/>
      <c r="W6575" s="7"/>
      <c r="X6575" s="7"/>
      <c r="Y6575" s="7"/>
      <c r="Z6575" s="7"/>
    </row>
    <row r="6576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7"/>
      <c r="L6576" s="7"/>
      <c r="M6576" s="7"/>
      <c r="N6576" s="7"/>
      <c r="O6576" s="7"/>
      <c r="P6576" s="7"/>
      <c r="Q6576" s="7"/>
      <c r="R6576" s="7"/>
      <c r="S6576" s="7"/>
      <c r="T6576" s="7"/>
      <c r="U6576" s="7"/>
      <c r="V6576" s="7"/>
      <c r="W6576" s="7"/>
      <c r="X6576" s="7"/>
      <c r="Y6576" s="7"/>
      <c r="Z6576" s="7"/>
    </row>
    <row r="6577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7"/>
      <c r="L6577" s="7"/>
      <c r="M6577" s="7"/>
      <c r="N6577" s="7"/>
      <c r="O6577" s="7"/>
      <c r="P6577" s="7"/>
      <c r="Q6577" s="7"/>
      <c r="R6577" s="7"/>
      <c r="S6577" s="7"/>
      <c r="T6577" s="7"/>
      <c r="U6577" s="7"/>
      <c r="V6577" s="7"/>
      <c r="W6577" s="7"/>
      <c r="X6577" s="7"/>
      <c r="Y6577" s="7"/>
      <c r="Z6577" s="7"/>
    </row>
    <row r="6578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7"/>
      <c r="L6578" s="7"/>
      <c r="M6578" s="7"/>
      <c r="N6578" s="7"/>
      <c r="O6578" s="7"/>
      <c r="P6578" s="7"/>
      <c r="Q6578" s="7"/>
      <c r="R6578" s="7"/>
      <c r="S6578" s="7"/>
      <c r="T6578" s="7"/>
      <c r="U6578" s="7"/>
      <c r="V6578" s="7"/>
      <c r="W6578" s="7"/>
      <c r="X6578" s="7"/>
      <c r="Y6578" s="7"/>
      <c r="Z6578" s="7"/>
    </row>
    <row r="6579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7"/>
      <c r="L6579" s="7"/>
      <c r="M6579" s="7"/>
      <c r="N6579" s="7"/>
      <c r="O6579" s="7"/>
      <c r="P6579" s="7"/>
      <c r="Q6579" s="7"/>
      <c r="R6579" s="7"/>
      <c r="S6579" s="7"/>
      <c r="T6579" s="7"/>
      <c r="U6579" s="7"/>
      <c r="V6579" s="7"/>
      <c r="W6579" s="7"/>
      <c r="X6579" s="7"/>
      <c r="Y6579" s="7"/>
      <c r="Z6579" s="7"/>
    </row>
    <row r="6580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7"/>
      <c r="L6580" s="7"/>
      <c r="M6580" s="7"/>
      <c r="N6580" s="7"/>
      <c r="O6580" s="7"/>
      <c r="P6580" s="7"/>
      <c r="Q6580" s="7"/>
      <c r="R6580" s="7"/>
      <c r="S6580" s="7"/>
      <c r="T6580" s="7"/>
      <c r="U6580" s="7"/>
      <c r="V6580" s="7"/>
      <c r="W6580" s="7"/>
      <c r="X6580" s="7"/>
      <c r="Y6580" s="7"/>
      <c r="Z6580" s="7"/>
    </row>
    <row r="6581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7"/>
      <c r="L6581" s="7"/>
      <c r="M6581" s="7"/>
      <c r="N6581" s="7"/>
      <c r="O6581" s="7"/>
      <c r="P6581" s="7"/>
      <c r="Q6581" s="7"/>
      <c r="R6581" s="7"/>
      <c r="S6581" s="7"/>
      <c r="T6581" s="7"/>
      <c r="U6581" s="7"/>
      <c r="V6581" s="7"/>
      <c r="W6581" s="7"/>
      <c r="X6581" s="7"/>
      <c r="Y6581" s="7"/>
      <c r="Z6581" s="7"/>
    </row>
    <row r="6582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7"/>
      <c r="L6582" s="7"/>
      <c r="M6582" s="7"/>
      <c r="N6582" s="7"/>
      <c r="O6582" s="7"/>
      <c r="P6582" s="7"/>
      <c r="Q6582" s="7"/>
      <c r="R6582" s="7"/>
      <c r="S6582" s="7"/>
      <c r="T6582" s="7"/>
      <c r="U6582" s="7"/>
      <c r="V6582" s="7"/>
      <c r="W6582" s="7"/>
      <c r="X6582" s="7"/>
      <c r="Y6582" s="7"/>
      <c r="Z6582" s="7"/>
    </row>
    <row r="6583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7"/>
      <c r="L6583" s="7"/>
      <c r="M6583" s="7"/>
      <c r="N6583" s="7"/>
      <c r="O6583" s="7"/>
      <c r="P6583" s="7"/>
      <c r="Q6583" s="7"/>
      <c r="R6583" s="7"/>
      <c r="S6583" s="7"/>
      <c r="T6583" s="7"/>
      <c r="U6583" s="7"/>
      <c r="V6583" s="7"/>
      <c r="W6583" s="7"/>
      <c r="X6583" s="7"/>
      <c r="Y6583" s="7"/>
      <c r="Z6583" s="7"/>
    </row>
    <row r="6584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7"/>
      <c r="L6584" s="7"/>
      <c r="M6584" s="7"/>
      <c r="N6584" s="7"/>
      <c r="O6584" s="7"/>
      <c r="P6584" s="7"/>
      <c r="Q6584" s="7"/>
      <c r="R6584" s="7"/>
      <c r="S6584" s="7"/>
      <c r="T6584" s="7"/>
      <c r="U6584" s="7"/>
      <c r="V6584" s="7"/>
      <c r="W6584" s="7"/>
      <c r="X6584" s="7"/>
      <c r="Y6584" s="7"/>
      <c r="Z6584" s="7"/>
    </row>
    <row r="658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7"/>
      <c r="L6585" s="7"/>
      <c r="M6585" s="7"/>
      <c r="N6585" s="7"/>
      <c r="O6585" s="7"/>
      <c r="P6585" s="7"/>
      <c r="Q6585" s="7"/>
      <c r="R6585" s="7"/>
      <c r="S6585" s="7"/>
      <c r="T6585" s="7"/>
      <c r="U6585" s="7"/>
      <c r="V6585" s="7"/>
      <c r="W6585" s="7"/>
      <c r="X6585" s="7"/>
      <c r="Y6585" s="7"/>
      <c r="Z6585" s="7"/>
    </row>
    <row r="6586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7"/>
      <c r="L6586" s="7"/>
      <c r="M6586" s="7"/>
      <c r="N6586" s="7"/>
      <c r="O6586" s="7"/>
      <c r="P6586" s="7"/>
      <c r="Q6586" s="7"/>
      <c r="R6586" s="7"/>
      <c r="S6586" s="7"/>
      <c r="T6586" s="7"/>
      <c r="U6586" s="7"/>
      <c r="V6586" s="7"/>
      <c r="W6586" s="7"/>
      <c r="X6586" s="7"/>
      <c r="Y6586" s="7"/>
      <c r="Z6586" s="7"/>
    </row>
    <row r="6587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7"/>
      <c r="L6587" s="7"/>
      <c r="M6587" s="7"/>
      <c r="N6587" s="7"/>
      <c r="O6587" s="7"/>
      <c r="P6587" s="7"/>
      <c r="Q6587" s="7"/>
      <c r="R6587" s="7"/>
      <c r="S6587" s="7"/>
      <c r="T6587" s="7"/>
      <c r="U6587" s="7"/>
      <c r="V6587" s="7"/>
      <c r="W6587" s="7"/>
      <c r="X6587" s="7"/>
      <c r="Y6587" s="7"/>
      <c r="Z6587" s="7"/>
    </row>
    <row r="6588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7"/>
      <c r="L6588" s="7"/>
      <c r="M6588" s="7"/>
      <c r="N6588" s="7"/>
      <c r="O6588" s="7"/>
      <c r="P6588" s="7"/>
      <c r="Q6588" s="7"/>
      <c r="R6588" s="7"/>
      <c r="S6588" s="7"/>
      <c r="T6588" s="7"/>
      <c r="U6588" s="7"/>
      <c r="V6588" s="7"/>
      <c r="W6588" s="7"/>
      <c r="X6588" s="7"/>
      <c r="Y6588" s="7"/>
      <c r="Z6588" s="7"/>
    </row>
    <row r="6589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7"/>
      <c r="L6589" s="7"/>
      <c r="M6589" s="7"/>
      <c r="N6589" s="7"/>
      <c r="O6589" s="7"/>
      <c r="P6589" s="7"/>
      <c r="Q6589" s="7"/>
      <c r="R6589" s="7"/>
      <c r="S6589" s="7"/>
      <c r="T6589" s="7"/>
      <c r="U6589" s="7"/>
      <c r="V6589" s="7"/>
      <c r="W6589" s="7"/>
      <c r="X6589" s="7"/>
      <c r="Y6589" s="7"/>
      <c r="Z6589" s="7"/>
    </row>
    <row r="6590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7"/>
      <c r="L6590" s="7"/>
      <c r="M6590" s="7"/>
      <c r="N6590" s="7"/>
      <c r="O6590" s="7"/>
      <c r="P6590" s="7"/>
      <c r="Q6590" s="7"/>
      <c r="R6590" s="7"/>
      <c r="S6590" s="7"/>
      <c r="T6590" s="7"/>
      <c r="U6590" s="7"/>
      <c r="V6590" s="7"/>
      <c r="W6590" s="7"/>
      <c r="X6590" s="7"/>
      <c r="Y6590" s="7"/>
      <c r="Z6590" s="7"/>
    </row>
    <row r="6591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7"/>
      <c r="L6591" s="7"/>
      <c r="M6591" s="7"/>
      <c r="N6591" s="7"/>
      <c r="O6591" s="7"/>
      <c r="P6591" s="7"/>
      <c r="Q6591" s="7"/>
      <c r="R6591" s="7"/>
      <c r="S6591" s="7"/>
      <c r="T6591" s="7"/>
      <c r="U6591" s="7"/>
      <c r="V6591" s="7"/>
      <c r="W6591" s="7"/>
      <c r="X6591" s="7"/>
      <c r="Y6591" s="7"/>
      <c r="Z6591" s="7"/>
    </row>
    <row r="6592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7"/>
      <c r="L6592" s="7"/>
      <c r="M6592" s="7"/>
      <c r="N6592" s="7"/>
      <c r="O6592" s="7"/>
      <c r="P6592" s="7"/>
      <c r="Q6592" s="7"/>
      <c r="R6592" s="7"/>
      <c r="S6592" s="7"/>
      <c r="T6592" s="7"/>
      <c r="U6592" s="7"/>
      <c r="V6592" s="7"/>
      <c r="W6592" s="7"/>
      <c r="X6592" s="7"/>
      <c r="Y6592" s="7"/>
      <c r="Z6592" s="7"/>
    </row>
    <row r="6593">
      <c r="A6593" s="7"/>
      <c r="B6593" s="7"/>
      <c r="C6593" s="7"/>
      <c r="D6593" s="7"/>
      <c r="E6593" s="7"/>
      <c r="F6593" s="7"/>
      <c r="G6593" s="7"/>
      <c r="H6593" s="7"/>
      <c r="I6593" s="7"/>
      <c r="J6593" s="7"/>
      <c r="K6593" s="7"/>
      <c r="L6593" s="7"/>
      <c r="M6593" s="7"/>
      <c r="N6593" s="7"/>
      <c r="O6593" s="7"/>
      <c r="P6593" s="7"/>
      <c r="Q6593" s="7"/>
      <c r="R6593" s="7"/>
      <c r="S6593" s="7"/>
      <c r="T6593" s="7"/>
      <c r="U6593" s="7"/>
      <c r="V6593" s="7"/>
      <c r="W6593" s="7"/>
      <c r="X6593" s="7"/>
      <c r="Y6593" s="7"/>
      <c r="Z6593" s="7"/>
    </row>
    <row r="6594">
      <c r="A6594" s="7"/>
      <c r="B6594" s="7"/>
      <c r="C6594" s="7"/>
      <c r="D6594" s="7"/>
      <c r="E6594" s="7"/>
      <c r="F6594" s="7"/>
      <c r="G6594" s="7"/>
      <c r="H6594" s="7"/>
      <c r="I6594" s="7"/>
      <c r="J6594" s="7"/>
      <c r="K6594" s="7"/>
      <c r="L6594" s="7"/>
      <c r="M6594" s="7"/>
      <c r="N6594" s="7"/>
      <c r="O6594" s="7"/>
      <c r="P6594" s="7"/>
      <c r="Q6594" s="7"/>
      <c r="R6594" s="7"/>
      <c r="S6594" s="7"/>
      <c r="T6594" s="7"/>
      <c r="U6594" s="7"/>
      <c r="V6594" s="7"/>
      <c r="W6594" s="7"/>
      <c r="X6594" s="7"/>
      <c r="Y6594" s="7"/>
      <c r="Z6594" s="7"/>
    </row>
    <row r="6595">
      <c r="A6595" s="7"/>
      <c r="B6595" s="7"/>
      <c r="C6595" s="7"/>
      <c r="D6595" s="7"/>
      <c r="E6595" s="7"/>
      <c r="F6595" s="7"/>
      <c r="G6595" s="7"/>
      <c r="H6595" s="7"/>
      <c r="I6595" s="7"/>
      <c r="J6595" s="7"/>
      <c r="K6595" s="7"/>
      <c r="L6595" s="7"/>
      <c r="M6595" s="7"/>
      <c r="N6595" s="7"/>
      <c r="O6595" s="7"/>
      <c r="P6595" s="7"/>
      <c r="Q6595" s="7"/>
      <c r="R6595" s="7"/>
      <c r="S6595" s="7"/>
      <c r="T6595" s="7"/>
      <c r="U6595" s="7"/>
      <c r="V6595" s="7"/>
      <c r="W6595" s="7"/>
      <c r="X6595" s="7"/>
      <c r="Y6595" s="7"/>
      <c r="Z6595" s="7"/>
    </row>
    <row r="6596">
      <c r="A6596" s="7"/>
      <c r="B6596" s="7"/>
      <c r="C6596" s="7"/>
      <c r="D6596" s="7"/>
      <c r="E6596" s="7"/>
      <c r="F6596" s="7"/>
      <c r="G6596" s="7"/>
      <c r="H6596" s="7"/>
      <c r="I6596" s="7"/>
      <c r="J6596" s="7"/>
      <c r="K6596" s="7"/>
      <c r="L6596" s="7"/>
      <c r="M6596" s="7"/>
      <c r="N6596" s="7"/>
      <c r="O6596" s="7"/>
      <c r="P6596" s="7"/>
      <c r="Q6596" s="7"/>
      <c r="R6596" s="7"/>
      <c r="S6596" s="7"/>
      <c r="T6596" s="7"/>
      <c r="U6596" s="7"/>
      <c r="V6596" s="7"/>
      <c r="W6596" s="7"/>
      <c r="X6596" s="7"/>
      <c r="Y6596" s="7"/>
      <c r="Z6596" s="7"/>
    </row>
    <row r="6597">
      <c r="A6597" s="7"/>
      <c r="B6597" s="7"/>
      <c r="C6597" s="7"/>
      <c r="D6597" s="7"/>
      <c r="E6597" s="7"/>
      <c r="F6597" s="7"/>
      <c r="G6597" s="7"/>
      <c r="H6597" s="7"/>
      <c r="I6597" s="7"/>
      <c r="J6597" s="7"/>
      <c r="K6597" s="7"/>
      <c r="L6597" s="7"/>
      <c r="M6597" s="7"/>
      <c r="N6597" s="7"/>
      <c r="O6597" s="7"/>
      <c r="P6597" s="7"/>
      <c r="Q6597" s="7"/>
      <c r="R6597" s="7"/>
      <c r="S6597" s="7"/>
      <c r="T6597" s="7"/>
      <c r="U6597" s="7"/>
      <c r="V6597" s="7"/>
      <c r="W6597" s="7"/>
      <c r="X6597" s="7"/>
      <c r="Y6597" s="7"/>
      <c r="Z6597" s="7"/>
    </row>
    <row r="6598">
      <c r="A6598" s="7"/>
      <c r="B6598" s="7"/>
      <c r="C6598" s="7"/>
      <c r="D6598" s="7"/>
      <c r="E6598" s="7"/>
      <c r="F6598" s="7"/>
      <c r="G6598" s="7"/>
      <c r="H6598" s="7"/>
      <c r="I6598" s="7"/>
      <c r="J6598" s="7"/>
      <c r="K6598" s="7"/>
      <c r="L6598" s="7"/>
      <c r="M6598" s="7"/>
      <c r="N6598" s="7"/>
      <c r="O6598" s="7"/>
      <c r="P6598" s="7"/>
      <c r="Q6598" s="7"/>
      <c r="R6598" s="7"/>
      <c r="S6598" s="7"/>
      <c r="T6598" s="7"/>
      <c r="U6598" s="7"/>
      <c r="V6598" s="7"/>
      <c r="W6598" s="7"/>
      <c r="X6598" s="7"/>
      <c r="Y6598" s="7"/>
      <c r="Z6598" s="7"/>
    </row>
    <row r="6599">
      <c r="A6599" s="7"/>
      <c r="B6599" s="7"/>
      <c r="C6599" s="7"/>
      <c r="D6599" s="7"/>
      <c r="E6599" s="7"/>
      <c r="F6599" s="7"/>
      <c r="G6599" s="7"/>
      <c r="H6599" s="7"/>
      <c r="I6599" s="7"/>
      <c r="J6599" s="7"/>
      <c r="K6599" s="7"/>
      <c r="L6599" s="7"/>
      <c r="M6599" s="7"/>
      <c r="N6599" s="7"/>
      <c r="O6599" s="7"/>
      <c r="P6599" s="7"/>
      <c r="Q6599" s="7"/>
      <c r="R6599" s="7"/>
      <c r="S6599" s="7"/>
      <c r="T6599" s="7"/>
      <c r="U6599" s="7"/>
      <c r="V6599" s="7"/>
      <c r="W6599" s="7"/>
      <c r="X6599" s="7"/>
      <c r="Y6599" s="7"/>
      <c r="Z6599" s="7"/>
    </row>
    <row r="6600">
      <c r="A6600" s="7"/>
      <c r="B6600" s="7"/>
      <c r="C6600" s="7"/>
      <c r="D6600" s="7"/>
      <c r="E6600" s="7"/>
      <c r="F6600" s="7"/>
      <c r="G6600" s="7"/>
      <c r="H6600" s="7"/>
      <c r="I6600" s="7"/>
      <c r="J6600" s="7"/>
      <c r="K6600" s="7"/>
      <c r="L6600" s="7"/>
      <c r="M6600" s="7"/>
      <c r="N6600" s="7"/>
      <c r="O6600" s="7"/>
      <c r="P6600" s="7"/>
      <c r="Q6600" s="7"/>
      <c r="R6600" s="7"/>
      <c r="S6600" s="7"/>
      <c r="T6600" s="7"/>
      <c r="U6600" s="7"/>
      <c r="V6600" s="7"/>
      <c r="W6600" s="7"/>
      <c r="X6600" s="7"/>
      <c r="Y6600" s="7"/>
      <c r="Z6600" s="7"/>
    </row>
    <row r="6601">
      <c r="A6601" s="7"/>
      <c r="B6601" s="7"/>
      <c r="C6601" s="7"/>
      <c r="D6601" s="7"/>
      <c r="E6601" s="7"/>
      <c r="F6601" s="7"/>
      <c r="G6601" s="7"/>
      <c r="H6601" s="7"/>
      <c r="I6601" s="7"/>
      <c r="J6601" s="7"/>
      <c r="K6601" s="7"/>
      <c r="L6601" s="7"/>
      <c r="M6601" s="7"/>
      <c r="N6601" s="7"/>
      <c r="O6601" s="7"/>
      <c r="P6601" s="7"/>
      <c r="Q6601" s="7"/>
      <c r="R6601" s="7"/>
      <c r="S6601" s="7"/>
      <c r="T6601" s="7"/>
      <c r="U6601" s="7"/>
      <c r="V6601" s="7"/>
      <c r="W6601" s="7"/>
      <c r="X6601" s="7"/>
      <c r="Y6601" s="7"/>
      <c r="Z6601" s="7"/>
    </row>
    <row r="6602">
      <c r="A6602" s="7"/>
      <c r="B6602" s="7"/>
      <c r="C6602" s="7"/>
      <c r="D6602" s="7"/>
      <c r="E6602" s="7"/>
      <c r="F6602" s="7"/>
      <c r="G6602" s="7"/>
      <c r="H6602" s="7"/>
      <c r="I6602" s="7"/>
      <c r="J6602" s="7"/>
      <c r="K6602" s="7"/>
      <c r="L6602" s="7"/>
      <c r="M6602" s="7"/>
      <c r="N6602" s="7"/>
      <c r="O6602" s="7"/>
      <c r="P6602" s="7"/>
      <c r="Q6602" s="7"/>
      <c r="R6602" s="7"/>
      <c r="S6602" s="7"/>
      <c r="T6602" s="7"/>
      <c r="U6602" s="7"/>
      <c r="V6602" s="7"/>
      <c r="W6602" s="7"/>
      <c r="X6602" s="7"/>
      <c r="Y6602" s="7"/>
      <c r="Z6602" s="7"/>
    </row>
    <row r="6603">
      <c r="A6603" s="7"/>
      <c r="B6603" s="7"/>
      <c r="C6603" s="7"/>
      <c r="D6603" s="7"/>
      <c r="E6603" s="7"/>
      <c r="F6603" s="7"/>
      <c r="G6603" s="7"/>
      <c r="H6603" s="7"/>
      <c r="I6603" s="7"/>
      <c r="J6603" s="7"/>
      <c r="K6603" s="7"/>
      <c r="L6603" s="7"/>
      <c r="M6603" s="7"/>
      <c r="N6603" s="7"/>
      <c r="O6603" s="7"/>
      <c r="P6603" s="7"/>
      <c r="Q6603" s="7"/>
      <c r="R6603" s="7"/>
      <c r="S6603" s="7"/>
      <c r="T6603" s="7"/>
      <c r="U6603" s="7"/>
      <c r="V6603" s="7"/>
      <c r="W6603" s="7"/>
      <c r="X6603" s="7"/>
      <c r="Y6603" s="7"/>
      <c r="Z6603" s="7"/>
    </row>
    <row r="6604">
      <c r="A6604" s="7"/>
      <c r="B6604" s="7"/>
      <c r="C6604" s="7"/>
      <c r="D6604" s="7"/>
      <c r="E6604" s="7"/>
      <c r="F6604" s="7"/>
      <c r="G6604" s="7"/>
      <c r="H6604" s="7"/>
      <c r="I6604" s="7"/>
      <c r="J6604" s="7"/>
      <c r="K6604" s="7"/>
      <c r="L6604" s="7"/>
      <c r="M6604" s="7"/>
      <c r="N6604" s="7"/>
      <c r="O6604" s="7"/>
      <c r="P6604" s="7"/>
      <c r="Q6604" s="7"/>
      <c r="R6604" s="7"/>
      <c r="S6604" s="7"/>
      <c r="T6604" s="7"/>
      <c r="U6604" s="7"/>
      <c r="V6604" s="7"/>
      <c r="W6604" s="7"/>
      <c r="X6604" s="7"/>
      <c r="Y6604" s="7"/>
      <c r="Z6604" s="7"/>
    </row>
    <row r="6605">
      <c r="A6605" s="7"/>
      <c r="B6605" s="7"/>
      <c r="C6605" s="7"/>
      <c r="D6605" s="7"/>
      <c r="E6605" s="7"/>
      <c r="F6605" s="7"/>
      <c r="G6605" s="7"/>
      <c r="H6605" s="7"/>
      <c r="I6605" s="7"/>
      <c r="J6605" s="7"/>
      <c r="K6605" s="7"/>
      <c r="L6605" s="7"/>
      <c r="M6605" s="7"/>
      <c r="N6605" s="7"/>
      <c r="O6605" s="7"/>
      <c r="P6605" s="7"/>
      <c r="Q6605" s="7"/>
      <c r="R6605" s="7"/>
      <c r="S6605" s="7"/>
      <c r="T6605" s="7"/>
      <c r="U6605" s="7"/>
      <c r="V6605" s="7"/>
      <c r="W6605" s="7"/>
      <c r="X6605" s="7"/>
      <c r="Y6605" s="7"/>
      <c r="Z6605" s="7"/>
    </row>
    <row r="6606">
      <c r="A6606" s="7"/>
      <c r="B6606" s="7"/>
      <c r="C6606" s="7"/>
      <c r="D6606" s="7"/>
      <c r="E6606" s="7"/>
      <c r="F6606" s="7"/>
      <c r="G6606" s="7"/>
      <c r="H6606" s="7"/>
      <c r="I6606" s="7"/>
      <c r="J6606" s="7"/>
      <c r="K6606" s="7"/>
      <c r="L6606" s="7"/>
      <c r="M6606" s="7"/>
      <c r="N6606" s="7"/>
      <c r="O6606" s="7"/>
      <c r="P6606" s="7"/>
      <c r="Q6606" s="7"/>
      <c r="R6606" s="7"/>
      <c r="S6606" s="7"/>
      <c r="T6606" s="7"/>
      <c r="U6606" s="7"/>
      <c r="V6606" s="7"/>
      <c r="W6606" s="7"/>
      <c r="X6606" s="7"/>
      <c r="Y6606" s="7"/>
      <c r="Z6606" s="7"/>
    </row>
    <row r="6607">
      <c r="A6607" s="7"/>
      <c r="B6607" s="7"/>
      <c r="C6607" s="7"/>
      <c r="D6607" s="7"/>
      <c r="E6607" s="7"/>
      <c r="F6607" s="7"/>
      <c r="G6607" s="7"/>
      <c r="H6607" s="7"/>
      <c r="I6607" s="7"/>
      <c r="J6607" s="7"/>
      <c r="K6607" s="7"/>
      <c r="L6607" s="7"/>
      <c r="M6607" s="7"/>
      <c r="N6607" s="7"/>
      <c r="O6607" s="7"/>
      <c r="P6607" s="7"/>
      <c r="Q6607" s="7"/>
      <c r="R6607" s="7"/>
      <c r="S6607" s="7"/>
      <c r="T6607" s="7"/>
      <c r="U6607" s="7"/>
      <c r="V6607" s="7"/>
      <c r="W6607" s="7"/>
      <c r="X6607" s="7"/>
      <c r="Y6607" s="7"/>
      <c r="Z6607" s="7"/>
    </row>
    <row r="6608">
      <c r="A6608" s="7"/>
      <c r="B6608" s="7"/>
      <c r="C6608" s="7"/>
      <c r="D6608" s="7"/>
      <c r="E6608" s="7"/>
      <c r="F6608" s="7"/>
      <c r="G6608" s="7"/>
      <c r="H6608" s="7"/>
      <c r="I6608" s="7"/>
      <c r="J6608" s="7"/>
      <c r="K6608" s="7"/>
      <c r="L6608" s="7"/>
      <c r="M6608" s="7"/>
      <c r="N6608" s="7"/>
      <c r="O6608" s="7"/>
      <c r="P6608" s="7"/>
      <c r="Q6608" s="7"/>
      <c r="R6608" s="7"/>
      <c r="S6608" s="7"/>
      <c r="T6608" s="7"/>
      <c r="U6608" s="7"/>
      <c r="V6608" s="7"/>
      <c r="W6608" s="7"/>
      <c r="X6608" s="7"/>
      <c r="Y6608" s="7"/>
      <c r="Z6608" s="7"/>
    </row>
    <row r="6609">
      <c r="A6609" s="7"/>
      <c r="B6609" s="7"/>
      <c r="C6609" s="7"/>
      <c r="D6609" s="7"/>
      <c r="E6609" s="7"/>
      <c r="F6609" s="7"/>
      <c r="G6609" s="7"/>
      <c r="H6609" s="7"/>
      <c r="I6609" s="7"/>
      <c r="J6609" s="7"/>
      <c r="K6609" s="7"/>
      <c r="L6609" s="7"/>
      <c r="M6609" s="7"/>
      <c r="N6609" s="7"/>
      <c r="O6609" s="7"/>
      <c r="P6609" s="7"/>
      <c r="Q6609" s="7"/>
      <c r="R6609" s="7"/>
      <c r="S6609" s="7"/>
      <c r="T6609" s="7"/>
      <c r="U6609" s="7"/>
      <c r="V6609" s="7"/>
      <c r="W6609" s="7"/>
      <c r="X6609" s="7"/>
      <c r="Y6609" s="7"/>
      <c r="Z6609" s="7"/>
    </row>
    <row r="6610">
      <c r="A6610" s="7"/>
      <c r="B6610" s="7"/>
      <c r="C6610" s="7"/>
      <c r="D6610" s="7"/>
      <c r="E6610" s="7"/>
      <c r="F6610" s="7"/>
      <c r="G6610" s="7"/>
      <c r="H6610" s="7"/>
      <c r="I6610" s="7"/>
      <c r="J6610" s="7"/>
      <c r="K6610" s="7"/>
      <c r="L6610" s="7"/>
      <c r="M6610" s="7"/>
      <c r="N6610" s="7"/>
      <c r="O6610" s="7"/>
      <c r="P6610" s="7"/>
      <c r="Q6610" s="7"/>
      <c r="R6610" s="7"/>
      <c r="S6610" s="7"/>
      <c r="T6610" s="7"/>
      <c r="U6610" s="7"/>
      <c r="V6610" s="7"/>
      <c r="W6610" s="7"/>
      <c r="X6610" s="7"/>
      <c r="Y6610" s="7"/>
      <c r="Z6610" s="7"/>
    </row>
    <row r="6611">
      <c r="A6611" s="7"/>
      <c r="B6611" s="7"/>
      <c r="C6611" s="7"/>
      <c r="D6611" s="7"/>
      <c r="E6611" s="7"/>
      <c r="F6611" s="7"/>
      <c r="G6611" s="7"/>
      <c r="H6611" s="7"/>
      <c r="I6611" s="7"/>
      <c r="J6611" s="7"/>
      <c r="K6611" s="7"/>
      <c r="L6611" s="7"/>
      <c r="M6611" s="7"/>
      <c r="N6611" s="7"/>
      <c r="O6611" s="7"/>
      <c r="P6611" s="7"/>
      <c r="Q6611" s="7"/>
      <c r="R6611" s="7"/>
      <c r="S6611" s="7"/>
      <c r="T6611" s="7"/>
      <c r="U6611" s="7"/>
      <c r="V6611" s="7"/>
      <c r="W6611" s="7"/>
      <c r="X6611" s="7"/>
      <c r="Y6611" s="7"/>
      <c r="Z6611" s="7"/>
    </row>
    <row r="6612">
      <c r="A6612" s="7"/>
      <c r="B6612" s="7"/>
      <c r="C6612" s="7"/>
      <c r="D6612" s="7"/>
      <c r="E6612" s="7"/>
      <c r="F6612" s="7"/>
      <c r="G6612" s="7"/>
      <c r="H6612" s="7"/>
      <c r="I6612" s="7"/>
      <c r="J6612" s="7"/>
      <c r="K6612" s="7"/>
      <c r="L6612" s="7"/>
      <c r="M6612" s="7"/>
      <c r="N6612" s="7"/>
      <c r="O6612" s="7"/>
      <c r="P6612" s="7"/>
      <c r="Q6612" s="7"/>
      <c r="R6612" s="7"/>
      <c r="S6612" s="7"/>
      <c r="T6612" s="7"/>
      <c r="U6612" s="7"/>
      <c r="V6612" s="7"/>
      <c r="W6612" s="7"/>
      <c r="X6612" s="7"/>
      <c r="Y6612" s="7"/>
      <c r="Z6612" s="7"/>
    </row>
    <row r="6613">
      <c r="A6613" s="7"/>
      <c r="B6613" s="7"/>
      <c r="C6613" s="7"/>
      <c r="D6613" s="7"/>
      <c r="E6613" s="7"/>
      <c r="F6613" s="7"/>
      <c r="G6613" s="7"/>
      <c r="H6613" s="7"/>
      <c r="I6613" s="7"/>
      <c r="J6613" s="7"/>
      <c r="K6613" s="7"/>
      <c r="L6613" s="7"/>
      <c r="M6613" s="7"/>
      <c r="N6613" s="7"/>
      <c r="O6613" s="7"/>
      <c r="P6613" s="7"/>
      <c r="Q6613" s="7"/>
      <c r="R6613" s="7"/>
      <c r="S6613" s="7"/>
      <c r="T6613" s="7"/>
      <c r="U6613" s="7"/>
      <c r="V6613" s="7"/>
      <c r="W6613" s="7"/>
      <c r="X6613" s="7"/>
      <c r="Y6613" s="7"/>
      <c r="Z6613" s="7"/>
    </row>
    <row r="6614">
      <c r="A6614" s="7"/>
      <c r="B6614" s="7"/>
      <c r="C6614" s="7"/>
      <c r="D6614" s="7"/>
      <c r="E6614" s="7"/>
      <c r="F6614" s="7"/>
      <c r="G6614" s="7"/>
      <c r="H6614" s="7"/>
      <c r="I6614" s="7"/>
      <c r="J6614" s="7"/>
      <c r="K6614" s="7"/>
      <c r="L6614" s="7"/>
      <c r="M6614" s="7"/>
      <c r="N6614" s="7"/>
      <c r="O6614" s="7"/>
      <c r="P6614" s="7"/>
      <c r="Q6614" s="7"/>
      <c r="R6614" s="7"/>
      <c r="S6614" s="7"/>
      <c r="T6614" s="7"/>
      <c r="U6614" s="7"/>
      <c r="V6614" s="7"/>
      <c r="W6614" s="7"/>
      <c r="X6614" s="7"/>
      <c r="Y6614" s="7"/>
      <c r="Z6614" s="7"/>
    </row>
    <row r="6615">
      <c r="A6615" s="7"/>
      <c r="B6615" s="7"/>
      <c r="C6615" s="7"/>
      <c r="D6615" s="7"/>
      <c r="E6615" s="7"/>
      <c r="F6615" s="7"/>
      <c r="G6615" s="7"/>
      <c r="H6615" s="7"/>
      <c r="I6615" s="7"/>
      <c r="J6615" s="7"/>
      <c r="K6615" s="7"/>
      <c r="L6615" s="7"/>
      <c r="M6615" s="7"/>
      <c r="N6615" s="7"/>
      <c r="O6615" s="7"/>
      <c r="P6615" s="7"/>
      <c r="Q6615" s="7"/>
      <c r="R6615" s="7"/>
      <c r="S6615" s="7"/>
      <c r="T6615" s="7"/>
      <c r="U6615" s="7"/>
      <c r="V6615" s="7"/>
      <c r="W6615" s="7"/>
      <c r="X6615" s="7"/>
      <c r="Y6615" s="7"/>
      <c r="Z6615" s="7"/>
    </row>
    <row r="6616">
      <c r="A6616" s="7"/>
      <c r="B6616" s="7"/>
      <c r="C6616" s="7"/>
      <c r="D6616" s="7"/>
      <c r="E6616" s="7"/>
      <c r="F6616" s="7"/>
      <c r="G6616" s="7"/>
      <c r="H6616" s="7"/>
      <c r="I6616" s="7"/>
      <c r="J6616" s="7"/>
      <c r="K6616" s="7"/>
      <c r="L6616" s="7"/>
      <c r="M6616" s="7"/>
      <c r="N6616" s="7"/>
      <c r="O6616" s="7"/>
      <c r="P6616" s="7"/>
      <c r="Q6616" s="7"/>
      <c r="R6616" s="7"/>
      <c r="S6616" s="7"/>
      <c r="T6616" s="7"/>
      <c r="U6616" s="7"/>
      <c r="V6616" s="7"/>
      <c r="W6616" s="7"/>
      <c r="X6616" s="7"/>
      <c r="Y6616" s="7"/>
      <c r="Z6616" s="7"/>
    </row>
    <row r="6617">
      <c r="A6617" s="7"/>
      <c r="B6617" s="7"/>
      <c r="C6617" s="7"/>
      <c r="D6617" s="7"/>
      <c r="E6617" s="7"/>
      <c r="F6617" s="7"/>
      <c r="G6617" s="7"/>
      <c r="H6617" s="7"/>
      <c r="I6617" s="7"/>
      <c r="J6617" s="7"/>
      <c r="K6617" s="7"/>
      <c r="L6617" s="7"/>
      <c r="M6617" s="7"/>
      <c r="N6617" s="7"/>
      <c r="O6617" s="7"/>
      <c r="P6617" s="7"/>
      <c r="Q6617" s="7"/>
      <c r="R6617" s="7"/>
      <c r="S6617" s="7"/>
      <c r="T6617" s="7"/>
      <c r="U6617" s="7"/>
      <c r="V6617" s="7"/>
      <c r="W6617" s="7"/>
      <c r="X6617" s="7"/>
      <c r="Y6617" s="7"/>
      <c r="Z6617" s="7"/>
    </row>
    <row r="6618">
      <c r="A6618" s="7"/>
      <c r="B6618" s="7"/>
      <c r="C6618" s="7"/>
      <c r="D6618" s="7"/>
      <c r="E6618" s="7"/>
      <c r="F6618" s="7"/>
      <c r="G6618" s="7"/>
      <c r="H6618" s="7"/>
      <c r="I6618" s="7"/>
      <c r="J6618" s="7"/>
      <c r="K6618" s="7"/>
      <c r="L6618" s="7"/>
      <c r="M6618" s="7"/>
      <c r="N6618" s="7"/>
      <c r="O6618" s="7"/>
      <c r="P6618" s="7"/>
      <c r="Q6618" s="7"/>
      <c r="R6618" s="7"/>
      <c r="S6618" s="7"/>
      <c r="T6618" s="7"/>
      <c r="U6618" s="7"/>
      <c r="V6618" s="7"/>
      <c r="W6618" s="7"/>
      <c r="X6618" s="7"/>
      <c r="Y6618" s="7"/>
      <c r="Z6618" s="7"/>
    </row>
    <row r="6619">
      <c r="A6619" s="7"/>
      <c r="B6619" s="7"/>
      <c r="C6619" s="7"/>
      <c r="D6619" s="7"/>
      <c r="E6619" s="7"/>
      <c r="F6619" s="7"/>
      <c r="G6619" s="7"/>
      <c r="H6619" s="7"/>
      <c r="I6619" s="7"/>
      <c r="J6619" s="7"/>
      <c r="K6619" s="7"/>
      <c r="L6619" s="7"/>
      <c r="M6619" s="7"/>
      <c r="N6619" s="7"/>
      <c r="O6619" s="7"/>
      <c r="P6619" s="7"/>
      <c r="Q6619" s="7"/>
      <c r="R6619" s="7"/>
      <c r="S6619" s="7"/>
      <c r="T6619" s="7"/>
      <c r="U6619" s="7"/>
      <c r="V6619" s="7"/>
      <c r="W6619" s="7"/>
      <c r="X6619" s="7"/>
      <c r="Y6619" s="7"/>
      <c r="Z6619" s="7"/>
    </row>
    <row r="6620">
      <c r="A6620" s="7"/>
      <c r="B6620" s="7"/>
      <c r="C6620" s="7"/>
      <c r="D6620" s="7"/>
      <c r="E6620" s="7"/>
      <c r="F6620" s="7"/>
      <c r="G6620" s="7"/>
      <c r="H6620" s="7"/>
      <c r="I6620" s="7"/>
      <c r="J6620" s="7"/>
      <c r="K6620" s="7"/>
      <c r="L6620" s="7"/>
      <c r="M6620" s="7"/>
      <c r="N6620" s="7"/>
      <c r="O6620" s="7"/>
      <c r="P6620" s="7"/>
      <c r="Q6620" s="7"/>
      <c r="R6620" s="7"/>
      <c r="S6620" s="7"/>
      <c r="T6620" s="7"/>
      <c r="U6620" s="7"/>
      <c r="V6620" s="7"/>
      <c r="W6620" s="7"/>
      <c r="X6620" s="7"/>
      <c r="Y6620" s="7"/>
      <c r="Z6620" s="7"/>
    </row>
    <row r="6621">
      <c r="A6621" s="7"/>
      <c r="B6621" s="7"/>
      <c r="C6621" s="7"/>
      <c r="D6621" s="7"/>
      <c r="E6621" s="7"/>
      <c r="F6621" s="7"/>
      <c r="G6621" s="7"/>
      <c r="H6621" s="7"/>
      <c r="I6621" s="7"/>
      <c r="J6621" s="7"/>
      <c r="K6621" s="7"/>
      <c r="L6621" s="7"/>
      <c r="M6621" s="7"/>
      <c r="N6621" s="7"/>
      <c r="O6621" s="7"/>
      <c r="P6621" s="7"/>
      <c r="Q6621" s="7"/>
      <c r="R6621" s="7"/>
      <c r="S6621" s="7"/>
      <c r="T6621" s="7"/>
      <c r="U6621" s="7"/>
      <c r="V6621" s="7"/>
      <c r="W6621" s="7"/>
      <c r="X6621" s="7"/>
      <c r="Y6621" s="7"/>
      <c r="Z6621" s="7"/>
    </row>
    <row r="6622">
      <c r="A6622" s="7"/>
      <c r="B6622" s="7"/>
      <c r="C6622" s="7"/>
      <c r="D6622" s="7"/>
      <c r="E6622" s="7"/>
      <c r="F6622" s="7"/>
      <c r="G6622" s="7"/>
      <c r="H6622" s="7"/>
      <c r="I6622" s="7"/>
      <c r="J6622" s="7"/>
      <c r="K6622" s="7"/>
      <c r="L6622" s="7"/>
      <c r="M6622" s="7"/>
      <c r="N6622" s="7"/>
      <c r="O6622" s="7"/>
      <c r="P6622" s="7"/>
      <c r="Q6622" s="7"/>
      <c r="R6622" s="7"/>
      <c r="S6622" s="7"/>
      <c r="T6622" s="7"/>
      <c r="U6622" s="7"/>
      <c r="V6622" s="7"/>
      <c r="W6622" s="7"/>
      <c r="X6622" s="7"/>
      <c r="Y6622" s="7"/>
      <c r="Z6622" s="7"/>
    </row>
    <row r="6623">
      <c r="A6623" s="7"/>
      <c r="B6623" s="7"/>
      <c r="C6623" s="7"/>
      <c r="D6623" s="7"/>
      <c r="E6623" s="7"/>
      <c r="F6623" s="7"/>
      <c r="G6623" s="7"/>
      <c r="H6623" s="7"/>
      <c r="I6623" s="7"/>
      <c r="J6623" s="7"/>
      <c r="K6623" s="7"/>
      <c r="L6623" s="7"/>
      <c r="M6623" s="7"/>
      <c r="N6623" s="7"/>
      <c r="O6623" s="7"/>
      <c r="P6623" s="7"/>
      <c r="Q6623" s="7"/>
      <c r="R6623" s="7"/>
      <c r="S6623" s="7"/>
      <c r="T6623" s="7"/>
      <c r="U6623" s="7"/>
      <c r="V6623" s="7"/>
      <c r="W6623" s="7"/>
      <c r="X6623" s="7"/>
      <c r="Y6623" s="7"/>
      <c r="Z6623" s="7"/>
    </row>
    <row r="6624">
      <c r="A6624" s="7"/>
      <c r="B6624" s="7"/>
      <c r="C6624" s="7"/>
      <c r="D6624" s="7"/>
      <c r="E6624" s="7"/>
      <c r="F6624" s="7"/>
      <c r="G6624" s="7"/>
      <c r="H6624" s="7"/>
      <c r="I6624" s="7"/>
      <c r="J6624" s="7"/>
      <c r="K6624" s="7"/>
      <c r="L6624" s="7"/>
      <c r="M6624" s="7"/>
      <c r="N6624" s="7"/>
      <c r="O6624" s="7"/>
      <c r="P6624" s="7"/>
      <c r="Q6624" s="7"/>
      <c r="R6624" s="7"/>
      <c r="S6624" s="7"/>
      <c r="T6624" s="7"/>
      <c r="U6624" s="7"/>
      <c r="V6624" s="7"/>
      <c r="W6624" s="7"/>
      <c r="X6624" s="7"/>
      <c r="Y6624" s="7"/>
      <c r="Z6624" s="7"/>
    </row>
    <row r="6625">
      <c r="A6625" s="7"/>
      <c r="B6625" s="7"/>
      <c r="C6625" s="7"/>
      <c r="D6625" s="7"/>
      <c r="E6625" s="7"/>
      <c r="F6625" s="7"/>
      <c r="G6625" s="7"/>
      <c r="H6625" s="7"/>
      <c r="I6625" s="7"/>
      <c r="J6625" s="7"/>
      <c r="K6625" s="7"/>
      <c r="L6625" s="7"/>
      <c r="M6625" s="7"/>
      <c r="N6625" s="7"/>
      <c r="O6625" s="7"/>
      <c r="P6625" s="7"/>
      <c r="Q6625" s="7"/>
      <c r="R6625" s="7"/>
      <c r="S6625" s="7"/>
      <c r="T6625" s="7"/>
      <c r="U6625" s="7"/>
      <c r="V6625" s="7"/>
      <c r="W6625" s="7"/>
      <c r="X6625" s="7"/>
      <c r="Y6625" s="7"/>
      <c r="Z6625" s="7"/>
    </row>
    <row r="6626">
      <c r="A6626" s="7"/>
      <c r="B6626" s="7"/>
      <c r="C6626" s="7"/>
      <c r="D6626" s="7"/>
      <c r="E6626" s="7"/>
      <c r="F6626" s="7"/>
      <c r="G6626" s="7"/>
      <c r="H6626" s="7"/>
      <c r="I6626" s="7"/>
      <c r="J6626" s="7"/>
      <c r="K6626" s="7"/>
      <c r="L6626" s="7"/>
      <c r="M6626" s="7"/>
      <c r="N6626" s="7"/>
      <c r="O6626" s="7"/>
      <c r="P6626" s="7"/>
      <c r="Q6626" s="7"/>
      <c r="R6626" s="7"/>
      <c r="S6626" s="7"/>
      <c r="T6626" s="7"/>
      <c r="U6626" s="7"/>
      <c r="V6626" s="7"/>
      <c r="W6626" s="7"/>
      <c r="X6626" s="7"/>
      <c r="Y6626" s="7"/>
      <c r="Z6626" s="7"/>
    </row>
    <row r="6627">
      <c r="A6627" s="7"/>
      <c r="B6627" s="7"/>
      <c r="C6627" s="7"/>
      <c r="D6627" s="7"/>
      <c r="E6627" s="7"/>
      <c r="F6627" s="7"/>
      <c r="G6627" s="7"/>
      <c r="H6627" s="7"/>
      <c r="I6627" s="7"/>
      <c r="J6627" s="7"/>
      <c r="K6627" s="7"/>
      <c r="L6627" s="7"/>
      <c r="M6627" s="7"/>
      <c r="N6627" s="7"/>
      <c r="O6627" s="7"/>
      <c r="P6627" s="7"/>
      <c r="Q6627" s="7"/>
      <c r="R6627" s="7"/>
      <c r="S6627" s="7"/>
      <c r="T6627" s="7"/>
      <c r="U6627" s="7"/>
      <c r="V6627" s="7"/>
      <c r="W6627" s="7"/>
      <c r="X6627" s="7"/>
      <c r="Y6627" s="7"/>
      <c r="Z6627" s="7"/>
    </row>
    <row r="6628">
      <c r="A6628" s="7"/>
      <c r="B6628" s="7"/>
      <c r="C6628" s="7"/>
      <c r="D6628" s="7"/>
      <c r="E6628" s="7"/>
      <c r="F6628" s="7"/>
      <c r="G6628" s="7"/>
      <c r="H6628" s="7"/>
      <c r="I6628" s="7"/>
      <c r="J6628" s="7"/>
      <c r="K6628" s="7"/>
      <c r="L6628" s="7"/>
      <c r="M6628" s="7"/>
      <c r="N6628" s="7"/>
      <c r="O6628" s="7"/>
      <c r="P6628" s="7"/>
      <c r="Q6628" s="7"/>
      <c r="R6628" s="7"/>
      <c r="S6628" s="7"/>
      <c r="T6628" s="7"/>
      <c r="U6628" s="7"/>
      <c r="V6628" s="7"/>
      <c r="W6628" s="7"/>
      <c r="X6628" s="7"/>
      <c r="Y6628" s="7"/>
      <c r="Z6628" s="7"/>
    </row>
    <row r="6629">
      <c r="A6629" s="7"/>
      <c r="B6629" s="7"/>
      <c r="C6629" s="7"/>
      <c r="D6629" s="7"/>
      <c r="E6629" s="7"/>
      <c r="F6629" s="7"/>
      <c r="G6629" s="7"/>
      <c r="H6629" s="7"/>
      <c r="I6629" s="7"/>
      <c r="J6629" s="7"/>
      <c r="K6629" s="7"/>
      <c r="L6629" s="7"/>
      <c r="M6629" s="7"/>
      <c r="N6629" s="7"/>
      <c r="O6629" s="7"/>
      <c r="P6629" s="7"/>
      <c r="Q6629" s="7"/>
      <c r="R6629" s="7"/>
      <c r="S6629" s="7"/>
      <c r="T6629" s="7"/>
      <c r="U6629" s="7"/>
      <c r="V6629" s="7"/>
      <c r="W6629" s="7"/>
      <c r="X6629" s="7"/>
      <c r="Y6629" s="7"/>
      <c r="Z6629" s="7"/>
    </row>
    <row r="6630">
      <c r="A6630" s="7"/>
      <c r="B6630" s="7"/>
      <c r="C6630" s="7"/>
      <c r="D6630" s="7"/>
      <c r="E6630" s="7"/>
      <c r="F6630" s="7"/>
      <c r="G6630" s="7"/>
      <c r="H6630" s="7"/>
      <c r="I6630" s="7"/>
      <c r="J6630" s="7"/>
      <c r="K6630" s="7"/>
      <c r="L6630" s="7"/>
      <c r="M6630" s="7"/>
      <c r="N6630" s="7"/>
      <c r="O6630" s="7"/>
      <c r="P6630" s="7"/>
      <c r="Q6630" s="7"/>
      <c r="R6630" s="7"/>
      <c r="S6630" s="7"/>
      <c r="T6630" s="7"/>
      <c r="U6630" s="7"/>
      <c r="V6630" s="7"/>
      <c r="W6630" s="7"/>
      <c r="X6630" s="7"/>
      <c r="Y6630" s="7"/>
      <c r="Z6630" s="7"/>
    </row>
    <row r="6631">
      <c r="A6631" s="7"/>
      <c r="B6631" s="7"/>
      <c r="C6631" s="7"/>
      <c r="D6631" s="7"/>
      <c r="E6631" s="7"/>
      <c r="F6631" s="7"/>
      <c r="G6631" s="7"/>
      <c r="H6631" s="7"/>
      <c r="I6631" s="7"/>
      <c r="J6631" s="7"/>
      <c r="K6631" s="7"/>
      <c r="L6631" s="7"/>
      <c r="M6631" s="7"/>
      <c r="N6631" s="7"/>
      <c r="O6631" s="7"/>
      <c r="P6631" s="7"/>
      <c r="Q6631" s="7"/>
      <c r="R6631" s="7"/>
      <c r="S6631" s="7"/>
      <c r="T6631" s="7"/>
      <c r="U6631" s="7"/>
      <c r="V6631" s="7"/>
      <c r="W6631" s="7"/>
      <c r="X6631" s="7"/>
      <c r="Y6631" s="7"/>
      <c r="Z6631" s="7"/>
    </row>
    <row r="6632">
      <c r="A6632" s="7"/>
      <c r="B6632" s="7"/>
      <c r="C6632" s="7"/>
      <c r="D6632" s="7"/>
      <c r="E6632" s="7"/>
      <c r="F6632" s="7"/>
      <c r="G6632" s="7"/>
      <c r="H6632" s="7"/>
      <c r="I6632" s="7"/>
      <c r="J6632" s="7"/>
      <c r="K6632" s="7"/>
      <c r="L6632" s="7"/>
      <c r="M6632" s="7"/>
      <c r="N6632" s="7"/>
      <c r="O6632" s="7"/>
      <c r="P6632" s="7"/>
      <c r="Q6632" s="7"/>
      <c r="R6632" s="7"/>
      <c r="S6632" s="7"/>
      <c r="T6632" s="7"/>
      <c r="U6632" s="7"/>
      <c r="V6632" s="7"/>
      <c r="W6632" s="7"/>
      <c r="X6632" s="7"/>
      <c r="Y6632" s="7"/>
      <c r="Z6632" s="7"/>
    </row>
    <row r="6633">
      <c r="A6633" s="7"/>
      <c r="B6633" s="7"/>
      <c r="C6633" s="7"/>
      <c r="D6633" s="7"/>
      <c r="E6633" s="7"/>
      <c r="F6633" s="7"/>
      <c r="G6633" s="7"/>
      <c r="H6633" s="7"/>
      <c r="I6633" s="7"/>
      <c r="J6633" s="7"/>
      <c r="K6633" s="7"/>
      <c r="L6633" s="7"/>
      <c r="M6633" s="7"/>
      <c r="N6633" s="7"/>
      <c r="O6633" s="7"/>
      <c r="P6633" s="7"/>
      <c r="Q6633" s="7"/>
      <c r="R6633" s="7"/>
      <c r="S6633" s="7"/>
      <c r="T6633" s="7"/>
      <c r="U6633" s="7"/>
      <c r="V6633" s="7"/>
      <c r="W6633" s="7"/>
      <c r="X6633" s="7"/>
      <c r="Y6633" s="7"/>
      <c r="Z6633" s="7"/>
    </row>
    <row r="6634">
      <c r="A6634" s="7"/>
      <c r="B6634" s="7"/>
      <c r="C6634" s="7"/>
      <c r="D6634" s="7"/>
      <c r="E6634" s="7"/>
      <c r="F6634" s="7"/>
      <c r="G6634" s="7"/>
      <c r="H6634" s="7"/>
      <c r="I6634" s="7"/>
      <c r="J6634" s="7"/>
      <c r="K6634" s="7"/>
      <c r="L6634" s="7"/>
      <c r="M6634" s="7"/>
      <c r="N6634" s="7"/>
      <c r="O6634" s="7"/>
      <c r="P6634" s="7"/>
      <c r="Q6634" s="7"/>
      <c r="R6634" s="7"/>
      <c r="S6634" s="7"/>
      <c r="T6634" s="7"/>
      <c r="U6634" s="7"/>
      <c r="V6634" s="7"/>
      <c r="W6634" s="7"/>
      <c r="X6634" s="7"/>
      <c r="Y6634" s="7"/>
      <c r="Z6634" s="7"/>
    </row>
    <row r="6635">
      <c r="A6635" s="7"/>
      <c r="B6635" s="7"/>
      <c r="C6635" s="7"/>
      <c r="D6635" s="7"/>
      <c r="E6635" s="7"/>
      <c r="F6635" s="7"/>
      <c r="G6635" s="7"/>
      <c r="H6635" s="7"/>
      <c r="I6635" s="7"/>
      <c r="J6635" s="7"/>
      <c r="K6635" s="7"/>
      <c r="L6635" s="7"/>
      <c r="M6635" s="7"/>
      <c r="N6635" s="7"/>
      <c r="O6635" s="7"/>
      <c r="P6635" s="7"/>
      <c r="Q6635" s="7"/>
      <c r="R6635" s="7"/>
      <c r="S6635" s="7"/>
      <c r="T6635" s="7"/>
      <c r="U6635" s="7"/>
      <c r="V6635" s="7"/>
      <c r="W6635" s="7"/>
      <c r="X6635" s="7"/>
      <c r="Y6635" s="7"/>
      <c r="Z6635" s="7"/>
    </row>
    <row r="6636">
      <c r="A6636" s="7"/>
      <c r="B6636" s="7"/>
      <c r="C6636" s="7"/>
      <c r="D6636" s="7"/>
      <c r="E6636" s="7"/>
      <c r="F6636" s="7"/>
      <c r="G6636" s="7"/>
      <c r="H6636" s="7"/>
      <c r="I6636" s="7"/>
      <c r="J6636" s="7"/>
      <c r="K6636" s="7"/>
      <c r="L6636" s="7"/>
      <c r="M6636" s="7"/>
      <c r="N6636" s="7"/>
      <c r="O6636" s="7"/>
      <c r="P6636" s="7"/>
      <c r="Q6636" s="7"/>
      <c r="R6636" s="7"/>
      <c r="S6636" s="7"/>
      <c r="T6636" s="7"/>
      <c r="U6636" s="7"/>
      <c r="V6636" s="7"/>
      <c r="W6636" s="7"/>
      <c r="X6636" s="7"/>
      <c r="Y6636" s="7"/>
      <c r="Z6636" s="7"/>
    </row>
    <row r="6637">
      <c r="A6637" s="7"/>
      <c r="B6637" s="7"/>
      <c r="C6637" s="7"/>
      <c r="D6637" s="7"/>
      <c r="E6637" s="7"/>
      <c r="F6637" s="7"/>
      <c r="G6637" s="7"/>
      <c r="H6637" s="7"/>
      <c r="I6637" s="7"/>
      <c r="J6637" s="7"/>
      <c r="K6637" s="7"/>
      <c r="L6637" s="7"/>
      <c r="M6637" s="7"/>
      <c r="N6637" s="7"/>
      <c r="O6637" s="7"/>
      <c r="P6637" s="7"/>
      <c r="Q6637" s="7"/>
      <c r="R6637" s="7"/>
      <c r="S6637" s="7"/>
      <c r="T6637" s="7"/>
      <c r="U6637" s="7"/>
      <c r="V6637" s="7"/>
      <c r="W6637" s="7"/>
      <c r="X6637" s="7"/>
      <c r="Y6637" s="7"/>
      <c r="Z6637" s="7"/>
    </row>
    <row r="6638">
      <c r="A6638" s="7"/>
      <c r="B6638" s="7"/>
      <c r="C6638" s="7"/>
      <c r="D6638" s="7"/>
      <c r="E6638" s="7"/>
      <c r="F6638" s="7"/>
      <c r="G6638" s="7"/>
      <c r="H6638" s="7"/>
      <c r="I6638" s="7"/>
      <c r="J6638" s="7"/>
      <c r="K6638" s="7"/>
      <c r="L6638" s="7"/>
      <c r="M6638" s="7"/>
      <c r="N6638" s="7"/>
      <c r="O6638" s="7"/>
      <c r="P6638" s="7"/>
      <c r="Q6638" s="7"/>
      <c r="R6638" s="7"/>
      <c r="S6638" s="7"/>
      <c r="T6638" s="7"/>
      <c r="U6638" s="7"/>
      <c r="V6638" s="7"/>
      <c r="W6638" s="7"/>
      <c r="X6638" s="7"/>
      <c r="Y6638" s="7"/>
      <c r="Z6638" s="7"/>
    </row>
    <row r="6639">
      <c r="A6639" s="7"/>
      <c r="B6639" s="7"/>
      <c r="C6639" s="7"/>
      <c r="D6639" s="7"/>
      <c r="E6639" s="7"/>
      <c r="F6639" s="7"/>
      <c r="G6639" s="7"/>
      <c r="H6639" s="7"/>
      <c r="I6639" s="7"/>
      <c r="J6639" s="7"/>
      <c r="K6639" s="7"/>
      <c r="L6639" s="7"/>
      <c r="M6639" s="7"/>
      <c r="N6639" s="7"/>
      <c r="O6639" s="7"/>
      <c r="P6639" s="7"/>
      <c r="Q6639" s="7"/>
      <c r="R6639" s="7"/>
      <c r="S6639" s="7"/>
      <c r="T6639" s="7"/>
      <c r="U6639" s="7"/>
      <c r="V6639" s="7"/>
      <c r="W6639" s="7"/>
      <c r="X6639" s="7"/>
      <c r="Y6639" s="7"/>
      <c r="Z6639" s="7"/>
    </row>
    <row r="6640">
      <c r="A6640" s="7"/>
      <c r="B6640" s="7"/>
      <c r="C6640" s="7"/>
      <c r="D6640" s="7"/>
      <c r="E6640" s="7"/>
      <c r="F6640" s="7"/>
      <c r="G6640" s="7"/>
      <c r="H6640" s="7"/>
      <c r="I6640" s="7"/>
      <c r="J6640" s="7"/>
      <c r="K6640" s="7"/>
      <c r="L6640" s="7"/>
      <c r="M6640" s="7"/>
      <c r="N6640" s="7"/>
      <c r="O6640" s="7"/>
      <c r="P6640" s="7"/>
      <c r="Q6640" s="7"/>
      <c r="R6640" s="7"/>
      <c r="S6640" s="7"/>
      <c r="T6640" s="7"/>
      <c r="U6640" s="7"/>
      <c r="V6640" s="7"/>
      <c r="W6640" s="7"/>
      <c r="X6640" s="7"/>
      <c r="Y6640" s="7"/>
      <c r="Z6640" s="7"/>
    </row>
    <row r="6641">
      <c r="A6641" s="7"/>
      <c r="B6641" s="7"/>
      <c r="C6641" s="7"/>
      <c r="D6641" s="7"/>
      <c r="E6641" s="7"/>
      <c r="F6641" s="7"/>
      <c r="G6641" s="7"/>
      <c r="H6641" s="7"/>
      <c r="I6641" s="7"/>
      <c r="J6641" s="7"/>
      <c r="K6641" s="7"/>
      <c r="L6641" s="7"/>
      <c r="M6641" s="7"/>
      <c r="N6641" s="7"/>
      <c r="O6641" s="7"/>
      <c r="P6641" s="7"/>
      <c r="Q6641" s="7"/>
      <c r="R6641" s="7"/>
      <c r="S6641" s="7"/>
      <c r="T6641" s="7"/>
      <c r="U6641" s="7"/>
      <c r="V6641" s="7"/>
      <c r="W6641" s="7"/>
      <c r="X6641" s="7"/>
      <c r="Y6641" s="7"/>
      <c r="Z6641" s="7"/>
    </row>
    <row r="6642">
      <c r="A6642" s="7"/>
      <c r="B6642" s="7"/>
      <c r="C6642" s="7"/>
      <c r="D6642" s="7"/>
      <c r="E6642" s="7"/>
      <c r="F6642" s="7"/>
      <c r="G6642" s="7"/>
      <c r="H6642" s="7"/>
      <c r="I6642" s="7"/>
      <c r="J6642" s="7"/>
      <c r="K6642" s="7"/>
      <c r="L6642" s="7"/>
      <c r="M6642" s="7"/>
      <c r="N6642" s="7"/>
      <c r="O6642" s="7"/>
      <c r="P6642" s="7"/>
      <c r="Q6642" s="7"/>
      <c r="R6642" s="7"/>
      <c r="S6642" s="7"/>
      <c r="T6642" s="7"/>
      <c r="U6642" s="7"/>
      <c r="V6642" s="7"/>
      <c r="W6642" s="7"/>
      <c r="X6642" s="7"/>
      <c r="Y6642" s="7"/>
      <c r="Z6642" s="7"/>
    </row>
    <row r="6643">
      <c r="A6643" s="7"/>
      <c r="B6643" s="7"/>
      <c r="C6643" s="7"/>
      <c r="D6643" s="7"/>
      <c r="E6643" s="7"/>
      <c r="F6643" s="7"/>
      <c r="G6643" s="7"/>
      <c r="H6643" s="7"/>
      <c r="I6643" s="7"/>
      <c r="J6643" s="7"/>
      <c r="K6643" s="7"/>
      <c r="L6643" s="7"/>
      <c r="M6643" s="7"/>
      <c r="N6643" s="7"/>
      <c r="O6643" s="7"/>
      <c r="P6643" s="7"/>
      <c r="Q6643" s="7"/>
      <c r="R6643" s="7"/>
      <c r="S6643" s="7"/>
      <c r="T6643" s="7"/>
      <c r="U6643" s="7"/>
      <c r="V6643" s="7"/>
      <c r="W6643" s="7"/>
      <c r="X6643" s="7"/>
      <c r="Y6643" s="7"/>
      <c r="Z6643" s="7"/>
    </row>
    <row r="6644">
      <c r="A6644" s="7"/>
      <c r="B6644" s="7"/>
      <c r="C6644" s="7"/>
      <c r="D6644" s="7"/>
      <c r="E6644" s="7"/>
      <c r="F6644" s="7"/>
      <c r="G6644" s="7"/>
      <c r="H6644" s="7"/>
      <c r="I6644" s="7"/>
      <c r="J6644" s="7"/>
      <c r="K6644" s="7"/>
      <c r="L6644" s="7"/>
      <c r="M6644" s="7"/>
      <c r="N6644" s="7"/>
      <c r="O6644" s="7"/>
      <c r="P6644" s="7"/>
      <c r="Q6644" s="7"/>
      <c r="R6644" s="7"/>
      <c r="S6644" s="7"/>
      <c r="T6644" s="7"/>
      <c r="U6644" s="7"/>
      <c r="V6644" s="7"/>
      <c r="W6644" s="7"/>
      <c r="X6644" s="7"/>
      <c r="Y6644" s="7"/>
      <c r="Z6644" s="7"/>
    </row>
    <row r="6645">
      <c r="A6645" s="7"/>
      <c r="B6645" s="7"/>
      <c r="C6645" s="7"/>
      <c r="D6645" s="7"/>
      <c r="E6645" s="7"/>
      <c r="F6645" s="7"/>
      <c r="G6645" s="7"/>
      <c r="H6645" s="7"/>
      <c r="I6645" s="7"/>
      <c r="J6645" s="7"/>
      <c r="K6645" s="7"/>
      <c r="L6645" s="7"/>
      <c r="M6645" s="7"/>
      <c r="N6645" s="7"/>
      <c r="O6645" s="7"/>
      <c r="P6645" s="7"/>
      <c r="Q6645" s="7"/>
      <c r="R6645" s="7"/>
      <c r="S6645" s="7"/>
      <c r="T6645" s="7"/>
      <c r="U6645" s="7"/>
      <c r="V6645" s="7"/>
      <c r="W6645" s="7"/>
      <c r="X6645" s="7"/>
      <c r="Y6645" s="7"/>
      <c r="Z6645" s="7"/>
    </row>
    <row r="6646">
      <c r="A6646" s="7"/>
      <c r="B6646" s="7"/>
      <c r="C6646" s="7"/>
      <c r="D6646" s="7"/>
      <c r="E6646" s="7"/>
      <c r="F6646" s="7"/>
      <c r="G6646" s="7"/>
      <c r="H6646" s="7"/>
      <c r="I6646" s="7"/>
      <c r="J6646" s="7"/>
      <c r="K6646" s="7"/>
      <c r="L6646" s="7"/>
      <c r="M6646" s="7"/>
      <c r="N6646" s="7"/>
      <c r="O6646" s="7"/>
      <c r="P6646" s="7"/>
      <c r="Q6646" s="7"/>
      <c r="R6646" s="7"/>
      <c r="S6646" s="7"/>
      <c r="T6646" s="7"/>
      <c r="U6646" s="7"/>
      <c r="V6646" s="7"/>
      <c r="W6646" s="7"/>
      <c r="X6646" s="7"/>
      <c r="Y6646" s="7"/>
      <c r="Z6646" s="7"/>
    </row>
    <row r="6647">
      <c r="A6647" s="7"/>
      <c r="B6647" s="7"/>
      <c r="C6647" s="7"/>
      <c r="D6647" s="7"/>
      <c r="E6647" s="7"/>
      <c r="F6647" s="7"/>
      <c r="G6647" s="7"/>
      <c r="H6647" s="7"/>
      <c r="I6647" s="7"/>
      <c r="J6647" s="7"/>
      <c r="K6647" s="7"/>
      <c r="L6647" s="7"/>
      <c r="M6647" s="7"/>
      <c r="N6647" s="7"/>
      <c r="O6647" s="7"/>
      <c r="P6647" s="7"/>
      <c r="Q6647" s="7"/>
      <c r="R6647" s="7"/>
      <c r="S6647" s="7"/>
      <c r="T6647" s="7"/>
      <c r="U6647" s="7"/>
      <c r="V6647" s="7"/>
      <c r="W6647" s="7"/>
      <c r="X6647" s="7"/>
      <c r="Y6647" s="7"/>
      <c r="Z6647" s="7"/>
    </row>
    <row r="6648">
      <c r="A6648" s="7"/>
      <c r="B6648" s="7"/>
      <c r="C6648" s="7"/>
      <c r="D6648" s="7"/>
      <c r="E6648" s="7"/>
      <c r="F6648" s="7"/>
      <c r="G6648" s="7"/>
      <c r="H6648" s="7"/>
      <c r="I6648" s="7"/>
      <c r="J6648" s="7"/>
      <c r="K6648" s="7"/>
      <c r="L6648" s="7"/>
      <c r="M6648" s="7"/>
      <c r="N6648" s="7"/>
      <c r="O6648" s="7"/>
      <c r="P6648" s="7"/>
      <c r="Q6648" s="7"/>
      <c r="R6648" s="7"/>
      <c r="S6648" s="7"/>
      <c r="T6648" s="7"/>
      <c r="U6648" s="7"/>
      <c r="V6648" s="7"/>
      <c r="W6648" s="7"/>
      <c r="X6648" s="7"/>
      <c r="Y6648" s="7"/>
      <c r="Z6648" s="7"/>
    </row>
    <row r="6649">
      <c r="A6649" s="7"/>
      <c r="B6649" s="7"/>
      <c r="C6649" s="7"/>
      <c r="D6649" s="7"/>
      <c r="E6649" s="7"/>
      <c r="F6649" s="7"/>
      <c r="G6649" s="7"/>
      <c r="H6649" s="7"/>
      <c r="I6649" s="7"/>
      <c r="J6649" s="7"/>
      <c r="K6649" s="7"/>
      <c r="L6649" s="7"/>
      <c r="M6649" s="7"/>
      <c r="N6649" s="7"/>
      <c r="O6649" s="7"/>
      <c r="P6649" s="7"/>
      <c r="Q6649" s="7"/>
      <c r="R6649" s="7"/>
      <c r="S6649" s="7"/>
      <c r="T6649" s="7"/>
      <c r="U6649" s="7"/>
      <c r="V6649" s="7"/>
      <c r="W6649" s="7"/>
      <c r="X6649" s="7"/>
      <c r="Y6649" s="7"/>
      <c r="Z6649" s="7"/>
    </row>
    <row r="6650">
      <c r="A6650" s="7"/>
      <c r="B6650" s="7"/>
      <c r="C6650" s="7"/>
      <c r="D6650" s="7"/>
      <c r="E6650" s="7"/>
      <c r="F6650" s="7"/>
      <c r="G6650" s="7"/>
      <c r="H6650" s="7"/>
      <c r="I6650" s="7"/>
      <c r="J6650" s="7"/>
      <c r="K6650" s="7"/>
      <c r="L6650" s="7"/>
      <c r="M6650" s="7"/>
      <c r="N6650" s="7"/>
      <c r="O6650" s="7"/>
      <c r="P6650" s="7"/>
      <c r="Q6650" s="7"/>
      <c r="R6650" s="7"/>
      <c r="S6650" s="7"/>
      <c r="T6650" s="7"/>
      <c r="U6650" s="7"/>
      <c r="V6650" s="7"/>
      <c r="W6650" s="7"/>
      <c r="X6650" s="7"/>
      <c r="Y6650" s="7"/>
      <c r="Z6650" s="7"/>
    </row>
    <row r="6651">
      <c r="A6651" s="7"/>
      <c r="B6651" s="7"/>
      <c r="C6651" s="7"/>
      <c r="D6651" s="7"/>
      <c r="E6651" s="7"/>
      <c r="F6651" s="7"/>
      <c r="G6651" s="7"/>
      <c r="H6651" s="7"/>
      <c r="I6651" s="7"/>
      <c r="J6651" s="7"/>
      <c r="K6651" s="7"/>
      <c r="L6651" s="7"/>
      <c r="M6651" s="7"/>
      <c r="N6651" s="7"/>
      <c r="O6651" s="7"/>
      <c r="P6651" s="7"/>
      <c r="Q6651" s="7"/>
      <c r="R6651" s="7"/>
      <c r="S6651" s="7"/>
      <c r="T6651" s="7"/>
      <c r="U6651" s="7"/>
      <c r="V6651" s="7"/>
      <c r="W6651" s="7"/>
      <c r="X6651" s="7"/>
      <c r="Y6651" s="7"/>
      <c r="Z6651" s="7"/>
    </row>
    <row r="6652">
      <c r="A6652" s="7"/>
      <c r="B6652" s="7"/>
      <c r="C6652" s="7"/>
      <c r="D6652" s="7"/>
      <c r="E6652" s="7"/>
      <c r="F6652" s="7"/>
      <c r="G6652" s="7"/>
      <c r="H6652" s="7"/>
      <c r="I6652" s="7"/>
      <c r="J6652" s="7"/>
      <c r="K6652" s="7"/>
      <c r="L6652" s="7"/>
      <c r="M6652" s="7"/>
      <c r="N6652" s="7"/>
      <c r="O6652" s="7"/>
      <c r="P6652" s="7"/>
      <c r="Q6652" s="7"/>
      <c r="R6652" s="7"/>
      <c r="S6652" s="7"/>
      <c r="T6652" s="7"/>
      <c r="U6652" s="7"/>
      <c r="V6652" s="7"/>
      <c r="W6652" s="7"/>
      <c r="X6652" s="7"/>
      <c r="Y6652" s="7"/>
      <c r="Z6652" s="7"/>
    </row>
    <row r="6653">
      <c r="A6653" s="7"/>
      <c r="B6653" s="7"/>
      <c r="C6653" s="7"/>
      <c r="D6653" s="7"/>
      <c r="E6653" s="7"/>
      <c r="F6653" s="7"/>
      <c r="G6653" s="7"/>
      <c r="H6653" s="7"/>
      <c r="I6653" s="7"/>
      <c r="J6653" s="7"/>
      <c r="K6653" s="7"/>
      <c r="L6653" s="7"/>
      <c r="M6653" s="7"/>
      <c r="N6653" s="7"/>
      <c r="O6653" s="7"/>
      <c r="P6653" s="7"/>
      <c r="Q6653" s="7"/>
      <c r="R6653" s="7"/>
      <c r="S6653" s="7"/>
      <c r="T6653" s="7"/>
      <c r="U6653" s="7"/>
      <c r="V6653" s="7"/>
      <c r="W6653" s="7"/>
      <c r="X6653" s="7"/>
      <c r="Y6653" s="7"/>
      <c r="Z6653" s="7"/>
    </row>
    <row r="6654">
      <c r="A6654" s="7"/>
      <c r="B6654" s="7"/>
      <c r="C6654" s="7"/>
      <c r="D6654" s="7"/>
      <c r="E6654" s="7"/>
      <c r="F6654" s="7"/>
      <c r="G6654" s="7"/>
      <c r="H6654" s="7"/>
      <c r="I6654" s="7"/>
      <c r="J6654" s="7"/>
      <c r="K6654" s="7"/>
      <c r="L6654" s="7"/>
      <c r="M6654" s="7"/>
      <c r="N6654" s="7"/>
      <c r="O6654" s="7"/>
      <c r="P6654" s="7"/>
      <c r="Q6654" s="7"/>
      <c r="R6654" s="7"/>
      <c r="S6654" s="7"/>
      <c r="T6654" s="7"/>
      <c r="U6654" s="7"/>
      <c r="V6654" s="7"/>
      <c r="W6654" s="7"/>
      <c r="X6654" s="7"/>
      <c r="Y6654" s="7"/>
      <c r="Z6654" s="7"/>
    </row>
    <row r="6655">
      <c r="A6655" s="7"/>
      <c r="B6655" s="7"/>
      <c r="C6655" s="7"/>
      <c r="D6655" s="7"/>
      <c r="E6655" s="7"/>
      <c r="F6655" s="7"/>
      <c r="G6655" s="7"/>
      <c r="H6655" s="7"/>
      <c r="I6655" s="7"/>
      <c r="J6655" s="7"/>
      <c r="K6655" s="7"/>
      <c r="L6655" s="7"/>
      <c r="M6655" s="7"/>
      <c r="N6655" s="7"/>
      <c r="O6655" s="7"/>
      <c r="P6655" s="7"/>
      <c r="Q6655" s="7"/>
      <c r="R6655" s="7"/>
      <c r="S6655" s="7"/>
      <c r="T6655" s="7"/>
      <c r="U6655" s="7"/>
      <c r="V6655" s="7"/>
      <c r="W6655" s="7"/>
      <c r="X6655" s="7"/>
      <c r="Y6655" s="7"/>
      <c r="Z6655" s="7"/>
    </row>
    <row r="6656">
      <c r="A6656" s="7"/>
      <c r="B6656" s="7"/>
      <c r="C6656" s="7"/>
      <c r="D6656" s="7"/>
      <c r="E6656" s="7"/>
      <c r="F6656" s="7"/>
      <c r="G6656" s="7"/>
      <c r="H6656" s="7"/>
      <c r="I6656" s="7"/>
      <c r="J6656" s="7"/>
      <c r="K6656" s="7"/>
      <c r="L6656" s="7"/>
      <c r="M6656" s="7"/>
      <c r="N6656" s="7"/>
      <c r="O6656" s="7"/>
      <c r="P6656" s="7"/>
      <c r="Q6656" s="7"/>
      <c r="R6656" s="7"/>
      <c r="S6656" s="7"/>
      <c r="T6656" s="7"/>
      <c r="U6656" s="7"/>
      <c r="V6656" s="7"/>
      <c r="W6656" s="7"/>
      <c r="X6656" s="7"/>
      <c r="Y6656" s="7"/>
      <c r="Z6656" s="7"/>
    </row>
    <row r="6657">
      <c r="A6657" s="7"/>
      <c r="B6657" s="7"/>
      <c r="C6657" s="7"/>
      <c r="D6657" s="7"/>
      <c r="E6657" s="7"/>
      <c r="F6657" s="7"/>
      <c r="G6657" s="7"/>
      <c r="H6657" s="7"/>
      <c r="I6657" s="7"/>
      <c r="J6657" s="7"/>
      <c r="K6657" s="7"/>
      <c r="L6657" s="7"/>
      <c r="M6657" s="7"/>
      <c r="N6657" s="7"/>
      <c r="O6657" s="7"/>
      <c r="P6657" s="7"/>
      <c r="Q6657" s="7"/>
      <c r="R6657" s="7"/>
      <c r="S6657" s="7"/>
      <c r="T6657" s="7"/>
      <c r="U6657" s="7"/>
      <c r="V6657" s="7"/>
      <c r="W6657" s="7"/>
      <c r="X6657" s="7"/>
      <c r="Y6657" s="7"/>
      <c r="Z6657" s="7"/>
    </row>
    <row r="6658">
      <c r="A6658" s="7"/>
      <c r="B6658" s="7"/>
      <c r="C6658" s="7"/>
      <c r="D6658" s="7"/>
      <c r="E6658" s="7"/>
      <c r="F6658" s="7"/>
      <c r="G6658" s="7"/>
      <c r="H6658" s="7"/>
      <c r="I6658" s="7"/>
      <c r="J6658" s="7"/>
      <c r="K6658" s="7"/>
      <c r="L6658" s="7"/>
      <c r="M6658" s="7"/>
      <c r="N6658" s="7"/>
      <c r="O6658" s="7"/>
      <c r="P6658" s="7"/>
      <c r="Q6658" s="7"/>
      <c r="R6658" s="7"/>
      <c r="S6658" s="7"/>
      <c r="T6658" s="7"/>
      <c r="U6658" s="7"/>
      <c r="V6658" s="7"/>
      <c r="W6658" s="7"/>
      <c r="X6658" s="7"/>
      <c r="Y6658" s="7"/>
      <c r="Z6658" s="7"/>
    </row>
    <row r="6659">
      <c r="A6659" s="7"/>
      <c r="B6659" s="7"/>
      <c r="C6659" s="7"/>
      <c r="D6659" s="7"/>
      <c r="E6659" s="7"/>
      <c r="F6659" s="7"/>
      <c r="G6659" s="7"/>
      <c r="H6659" s="7"/>
      <c r="I6659" s="7"/>
      <c r="J6659" s="7"/>
      <c r="K6659" s="7"/>
      <c r="L6659" s="7"/>
      <c r="M6659" s="7"/>
      <c r="N6659" s="7"/>
      <c r="O6659" s="7"/>
      <c r="P6659" s="7"/>
      <c r="Q6659" s="7"/>
      <c r="R6659" s="7"/>
      <c r="S6659" s="7"/>
      <c r="T6659" s="7"/>
      <c r="U6659" s="7"/>
      <c r="V6659" s="7"/>
      <c r="W6659" s="7"/>
      <c r="X6659" s="7"/>
      <c r="Y6659" s="7"/>
      <c r="Z6659" s="7"/>
    </row>
    <row r="6660">
      <c r="A6660" s="7"/>
      <c r="B6660" s="7"/>
      <c r="C6660" s="7"/>
      <c r="D6660" s="7"/>
      <c r="E6660" s="7"/>
      <c r="F6660" s="7"/>
      <c r="G6660" s="7"/>
      <c r="H6660" s="7"/>
      <c r="I6660" s="7"/>
      <c r="J6660" s="7"/>
      <c r="K6660" s="7"/>
      <c r="L6660" s="7"/>
      <c r="M6660" s="7"/>
      <c r="N6660" s="7"/>
      <c r="O6660" s="7"/>
      <c r="P6660" s="7"/>
      <c r="Q6660" s="7"/>
      <c r="R6660" s="7"/>
      <c r="S6660" s="7"/>
      <c r="T6660" s="7"/>
      <c r="U6660" s="7"/>
      <c r="V6660" s="7"/>
      <c r="W6660" s="7"/>
      <c r="X6660" s="7"/>
      <c r="Y6660" s="7"/>
      <c r="Z6660" s="7"/>
    </row>
    <row r="6661">
      <c r="A6661" s="7"/>
      <c r="B6661" s="7"/>
      <c r="C6661" s="7"/>
      <c r="D6661" s="7"/>
      <c r="E6661" s="7"/>
      <c r="F6661" s="7"/>
      <c r="G6661" s="7"/>
      <c r="H6661" s="7"/>
      <c r="I6661" s="7"/>
      <c r="J6661" s="7"/>
      <c r="K6661" s="7"/>
      <c r="L6661" s="7"/>
      <c r="M6661" s="7"/>
      <c r="N6661" s="7"/>
      <c r="O6661" s="7"/>
      <c r="P6661" s="7"/>
      <c r="Q6661" s="7"/>
      <c r="R6661" s="7"/>
      <c r="S6661" s="7"/>
      <c r="T6661" s="7"/>
      <c r="U6661" s="7"/>
      <c r="V6661" s="7"/>
      <c r="W6661" s="7"/>
      <c r="X6661" s="7"/>
      <c r="Y6661" s="7"/>
      <c r="Z6661" s="7"/>
    </row>
    <row r="6662">
      <c r="A6662" s="7"/>
      <c r="B6662" s="7"/>
      <c r="C6662" s="7"/>
      <c r="D6662" s="7"/>
      <c r="E6662" s="7"/>
      <c r="F6662" s="7"/>
      <c r="G6662" s="7"/>
      <c r="H6662" s="7"/>
      <c r="I6662" s="7"/>
      <c r="J6662" s="7"/>
      <c r="K6662" s="7"/>
      <c r="L6662" s="7"/>
      <c r="M6662" s="7"/>
      <c r="N6662" s="7"/>
      <c r="O6662" s="7"/>
      <c r="P6662" s="7"/>
      <c r="Q6662" s="7"/>
      <c r="R6662" s="7"/>
      <c r="S6662" s="7"/>
      <c r="T6662" s="7"/>
      <c r="U6662" s="7"/>
      <c r="V6662" s="7"/>
      <c r="W6662" s="7"/>
      <c r="X6662" s="7"/>
      <c r="Y6662" s="7"/>
      <c r="Z6662" s="7"/>
    </row>
    <row r="6663">
      <c r="A6663" s="7"/>
      <c r="B6663" s="7"/>
      <c r="C6663" s="7"/>
      <c r="D6663" s="7"/>
      <c r="E6663" s="7"/>
      <c r="F6663" s="7"/>
      <c r="G6663" s="7"/>
      <c r="H6663" s="7"/>
      <c r="I6663" s="7"/>
      <c r="J6663" s="7"/>
      <c r="K6663" s="7"/>
      <c r="L6663" s="7"/>
      <c r="M6663" s="7"/>
      <c r="N6663" s="7"/>
      <c r="O6663" s="7"/>
      <c r="P6663" s="7"/>
      <c r="Q6663" s="7"/>
      <c r="R6663" s="7"/>
      <c r="S6663" s="7"/>
      <c r="T6663" s="7"/>
      <c r="U6663" s="7"/>
      <c r="V6663" s="7"/>
      <c r="W6663" s="7"/>
      <c r="X6663" s="7"/>
      <c r="Y6663" s="7"/>
      <c r="Z6663" s="7"/>
    </row>
    <row r="6664">
      <c r="A6664" s="7"/>
      <c r="B6664" s="7"/>
      <c r="C6664" s="7"/>
      <c r="D6664" s="7"/>
      <c r="E6664" s="7"/>
      <c r="F6664" s="7"/>
      <c r="G6664" s="7"/>
      <c r="H6664" s="7"/>
      <c r="I6664" s="7"/>
      <c r="J6664" s="7"/>
      <c r="K6664" s="7"/>
      <c r="L6664" s="7"/>
      <c r="M6664" s="7"/>
      <c r="N6664" s="7"/>
      <c r="O6664" s="7"/>
      <c r="P6664" s="7"/>
      <c r="Q6664" s="7"/>
      <c r="R6664" s="7"/>
      <c r="S6664" s="7"/>
      <c r="T6664" s="7"/>
      <c r="U6664" s="7"/>
      <c r="V6664" s="7"/>
      <c r="W6664" s="7"/>
      <c r="X6664" s="7"/>
      <c r="Y6664" s="7"/>
      <c r="Z6664" s="7"/>
    </row>
    <row r="6665">
      <c r="A6665" s="7"/>
      <c r="B6665" s="7"/>
      <c r="C6665" s="7"/>
      <c r="D6665" s="7"/>
      <c r="E6665" s="7"/>
      <c r="F6665" s="7"/>
      <c r="G6665" s="7"/>
      <c r="H6665" s="7"/>
      <c r="I6665" s="7"/>
      <c r="J6665" s="7"/>
      <c r="K6665" s="7"/>
      <c r="L6665" s="7"/>
      <c r="M6665" s="7"/>
      <c r="N6665" s="7"/>
      <c r="O6665" s="7"/>
      <c r="P6665" s="7"/>
      <c r="Q6665" s="7"/>
      <c r="R6665" s="7"/>
      <c r="S6665" s="7"/>
      <c r="T6665" s="7"/>
      <c r="U6665" s="7"/>
      <c r="V6665" s="7"/>
      <c r="W6665" s="7"/>
      <c r="X6665" s="7"/>
      <c r="Y6665" s="7"/>
      <c r="Z6665" s="7"/>
    </row>
    <row r="6666">
      <c r="A6666" s="7"/>
      <c r="B6666" s="7"/>
      <c r="C6666" s="7"/>
      <c r="D6666" s="7"/>
      <c r="E6666" s="7"/>
      <c r="F6666" s="7"/>
      <c r="G6666" s="7"/>
      <c r="H6666" s="7"/>
      <c r="I6666" s="7"/>
      <c r="J6666" s="7"/>
      <c r="K6666" s="7"/>
      <c r="L6666" s="7"/>
      <c r="M6666" s="7"/>
      <c r="N6666" s="7"/>
      <c r="O6666" s="7"/>
      <c r="P6666" s="7"/>
      <c r="Q6666" s="7"/>
      <c r="R6666" s="7"/>
      <c r="S6666" s="7"/>
      <c r="T6666" s="7"/>
      <c r="U6666" s="7"/>
      <c r="V6666" s="7"/>
      <c r="W6666" s="7"/>
      <c r="X6666" s="7"/>
      <c r="Y6666" s="7"/>
      <c r="Z6666" s="7"/>
    </row>
    <row r="6667">
      <c r="A6667" s="7"/>
      <c r="B6667" s="7"/>
      <c r="C6667" s="7"/>
      <c r="D6667" s="7"/>
      <c r="E6667" s="7"/>
      <c r="F6667" s="7"/>
      <c r="G6667" s="7"/>
      <c r="H6667" s="7"/>
      <c r="I6667" s="7"/>
      <c r="J6667" s="7"/>
      <c r="K6667" s="7"/>
      <c r="L6667" s="7"/>
      <c r="M6667" s="7"/>
      <c r="N6667" s="7"/>
      <c r="O6667" s="7"/>
      <c r="P6667" s="7"/>
      <c r="Q6667" s="7"/>
      <c r="R6667" s="7"/>
      <c r="S6667" s="7"/>
      <c r="T6667" s="7"/>
      <c r="U6667" s="7"/>
      <c r="V6667" s="7"/>
      <c r="W6667" s="7"/>
      <c r="X6667" s="7"/>
      <c r="Y6667" s="7"/>
      <c r="Z6667" s="7"/>
    </row>
    <row r="6668">
      <c r="A6668" s="7"/>
      <c r="B6668" s="7"/>
      <c r="C6668" s="7"/>
      <c r="D6668" s="7"/>
      <c r="E6668" s="7"/>
      <c r="F6668" s="7"/>
      <c r="G6668" s="7"/>
      <c r="H6668" s="7"/>
      <c r="I6668" s="7"/>
      <c r="J6668" s="7"/>
      <c r="K6668" s="7"/>
      <c r="L6668" s="7"/>
      <c r="M6668" s="7"/>
      <c r="N6668" s="7"/>
      <c r="O6668" s="7"/>
      <c r="P6668" s="7"/>
      <c r="Q6668" s="7"/>
      <c r="R6668" s="7"/>
      <c r="S6668" s="7"/>
      <c r="T6668" s="7"/>
      <c r="U6668" s="7"/>
      <c r="V6668" s="7"/>
      <c r="W6668" s="7"/>
      <c r="X6668" s="7"/>
      <c r="Y6668" s="7"/>
      <c r="Z6668" s="7"/>
    </row>
    <row r="6669">
      <c r="A6669" s="7"/>
      <c r="B6669" s="7"/>
      <c r="C6669" s="7"/>
      <c r="D6669" s="7"/>
      <c r="E6669" s="7"/>
      <c r="F6669" s="7"/>
      <c r="G6669" s="7"/>
      <c r="H6669" s="7"/>
      <c r="I6669" s="7"/>
      <c r="J6669" s="7"/>
      <c r="K6669" s="7"/>
      <c r="L6669" s="7"/>
      <c r="M6669" s="7"/>
      <c r="N6669" s="7"/>
      <c r="O6669" s="7"/>
      <c r="P6669" s="7"/>
      <c r="Q6669" s="7"/>
      <c r="R6669" s="7"/>
      <c r="S6669" s="7"/>
      <c r="T6669" s="7"/>
      <c r="U6669" s="7"/>
      <c r="V6669" s="7"/>
      <c r="W6669" s="7"/>
      <c r="X6669" s="7"/>
      <c r="Y6669" s="7"/>
      <c r="Z6669" s="7"/>
    </row>
    <row r="6670">
      <c r="A6670" s="7"/>
      <c r="B6670" s="7"/>
      <c r="C6670" s="7"/>
      <c r="D6670" s="7"/>
      <c r="E6670" s="7"/>
      <c r="F6670" s="7"/>
      <c r="G6670" s="7"/>
      <c r="H6670" s="7"/>
      <c r="I6670" s="7"/>
      <c r="J6670" s="7"/>
      <c r="K6670" s="7"/>
      <c r="L6670" s="7"/>
      <c r="M6670" s="7"/>
      <c r="N6670" s="7"/>
      <c r="O6670" s="7"/>
      <c r="P6670" s="7"/>
      <c r="Q6670" s="7"/>
      <c r="R6670" s="7"/>
      <c r="S6670" s="7"/>
      <c r="T6670" s="7"/>
      <c r="U6670" s="7"/>
      <c r="V6670" s="7"/>
      <c r="W6670" s="7"/>
      <c r="X6670" s="7"/>
      <c r="Y6670" s="7"/>
      <c r="Z6670" s="7"/>
    </row>
    <row r="6671">
      <c r="A6671" s="7"/>
      <c r="B6671" s="7"/>
      <c r="C6671" s="7"/>
      <c r="D6671" s="7"/>
      <c r="E6671" s="7"/>
      <c r="F6671" s="7"/>
      <c r="G6671" s="7"/>
      <c r="H6671" s="7"/>
      <c r="I6671" s="7"/>
      <c r="J6671" s="7"/>
      <c r="K6671" s="7"/>
      <c r="L6671" s="7"/>
      <c r="M6671" s="7"/>
      <c r="N6671" s="7"/>
      <c r="O6671" s="7"/>
      <c r="P6671" s="7"/>
      <c r="Q6671" s="7"/>
      <c r="R6671" s="7"/>
      <c r="S6671" s="7"/>
      <c r="T6671" s="7"/>
      <c r="U6671" s="7"/>
      <c r="V6671" s="7"/>
      <c r="W6671" s="7"/>
      <c r="X6671" s="7"/>
      <c r="Y6671" s="7"/>
      <c r="Z6671" s="7"/>
    </row>
    <row r="6672">
      <c r="A6672" s="7"/>
      <c r="B6672" s="7"/>
      <c r="C6672" s="7"/>
      <c r="D6672" s="7"/>
      <c r="E6672" s="7"/>
      <c r="F6672" s="7"/>
      <c r="G6672" s="7"/>
      <c r="H6672" s="7"/>
      <c r="I6672" s="7"/>
      <c r="J6672" s="7"/>
      <c r="K6672" s="7"/>
      <c r="L6672" s="7"/>
      <c r="M6672" s="7"/>
      <c r="N6672" s="7"/>
      <c r="O6672" s="7"/>
      <c r="P6672" s="7"/>
      <c r="Q6672" s="7"/>
      <c r="R6672" s="7"/>
      <c r="S6672" s="7"/>
      <c r="T6672" s="7"/>
      <c r="U6672" s="7"/>
      <c r="V6672" s="7"/>
      <c r="W6672" s="7"/>
      <c r="X6672" s="7"/>
      <c r="Y6672" s="7"/>
      <c r="Z6672" s="7"/>
    </row>
    <row r="6673">
      <c r="A6673" s="7"/>
      <c r="B6673" s="7"/>
      <c r="C6673" s="7"/>
      <c r="D6673" s="7"/>
      <c r="E6673" s="7"/>
      <c r="F6673" s="7"/>
      <c r="G6673" s="7"/>
      <c r="H6673" s="7"/>
      <c r="I6673" s="7"/>
      <c r="J6673" s="7"/>
      <c r="K6673" s="7"/>
      <c r="L6673" s="7"/>
      <c r="M6673" s="7"/>
      <c r="N6673" s="7"/>
      <c r="O6673" s="7"/>
      <c r="P6673" s="7"/>
      <c r="Q6673" s="7"/>
      <c r="R6673" s="7"/>
      <c r="S6673" s="7"/>
      <c r="T6673" s="7"/>
      <c r="U6673" s="7"/>
      <c r="V6673" s="7"/>
      <c r="W6673" s="7"/>
      <c r="X6673" s="7"/>
      <c r="Y6673" s="7"/>
      <c r="Z6673" s="7"/>
    </row>
    <row r="6674">
      <c r="A6674" s="7"/>
      <c r="B6674" s="7"/>
      <c r="C6674" s="7"/>
      <c r="D6674" s="7"/>
      <c r="E6674" s="7"/>
      <c r="F6674" s="7"/>
      <c r="G6674" s="7"/>
      <c r="H6674" s="7"/>
      <c r="I6674" s="7"/>
      <c r="J6674" s="7"/>
      <c r="K6674" s="7"/>
      <c r="L6674" s="7"/>
      <c r="M6674" s="7"/>
      <c r="N6674" s="7"/>
      <c r="O6674" s="7"/>
      <c r="P6674" s="7"/>
      <c r="Q6674" s="7"/>
      <c r="R6674" s="7"/>
      <c r="S6674" s="7"/>
      <c r="T6674" s="7"/>
      <c r="U6674" s="7"/>
      <c r="V6674" s="7"/>
      <c r="W6674" s="7"/>
      <c r="X6674" s="7"/>
      <c r="Y6674" s="7"/>
      <c r="Z6674" s="7"/>
    </row>
    <row r="6675">
      <c r="A6675" s="7"/>
      <c r="B6675" s="7"/>
      <c r="C6675" s="7"/>
      <c r="D6675" s="7"/>
      <c r="E6675" s="7"/>
      <c r="F6675" s="7"/>
      <c r="G6675" s="7"/>
      <c r="H6675" s="7"/>
      <c r="I6675" s="7"/>
      <c r="J6675" s="7"/>
      <c r="K6675" s="7"/>
      <c r="L6675" s="7"/>
      <c r="M6675" s="7"/>
      <c r="N6675" s="7"/>
      <c r="O6675" s="7"/>
      <c r="P6675" s="7"/>
      <c r="Q6675" s="7"/>
      <c r="R6675" s="7"/>
      <c r="S6675" s="7"/>
      <c r="T6675" s="7"/>
      <c r="U6675" s="7"/>
      <c r="V6675" s="7"/>
      <c r="W6675" s="7"/>
      <c r="X6675" s="7"/>
      <c r="Y6675" s="7"/>
      <c r="Z6675" s="7"/>
    </row>
    <row r="6676">
      <c r="A6676" s="7"/>
      <c r="B6676" s="7"/>
      <c r="C6676" s="7"/>
      <c r="D6676" s="7"/>
      <c r="E6676" s="7"/>
      <c r="F6676" s="7"/>
      <c r="G6676" s="7"/>
      <c r="H6676" s="7"/>
      <c r="I6676" s="7"/>
      <c r="J6676" s="7"/>
      <c r="K6676" s="7"/>
      <c r="L6676" s="7"/>
      <c r="M6676" s="7"/>
      <c r="N6676" s="7"/>
      <c r="O6676" s="7"/>
      <c r="P6676" s="7"/>
      <c r="Q6676" s="7"/>
      <c r="R6676" s="7"/>
      <c r="S6676" s="7"/>
      <c r="T6676" s="7"/>
      <c r="U6676" s="7"/>
      <c r="V6676" s="7"/>
      <c r="W6676" s="7"/>
      <c r="X6676" s="7"/>
      <c r="Y6676" s="7"/>
      <c r="Z6676" s="7"/>
    </row>
    <row r="6677">
      <c r="A6677" s="7"/>
      <c r="B6677" s="7"/>
      <c r="C6677" s="7"/>
      <c r="D6677" s="7"/>
      <c r="E6677" s="7"/>
      <c r="F6677" s="7"/>
      <c r="G6677" s="7"/>
      <c r="H6677" s="7"/>
      <c r="I6677" s="7"/>
      <c r="J6677" s="7"/>
      <c r="K6677" s="7"/>
      <c r="L6677" s="7"/>
      <c r="M6677" s="7"/>
      <c r="N6677" s="7"/>
      <c r="O6677" s="7"/>
      <c r="P6677" s="7"/>
      <c r="Q6677" s="7"/>
      <c r="R6677" s="7"/>
      <c r="S6677" s="7"/>
      <c r="T6677" s="7"/>
      <c r="U6677" s="7"/>
      <c r="V6677" s="7"/>
      <c r="W6677" s="7"/>
      <c r="X6677" s="7"/>
      <c r="Y6677" s="7"/>
      <c r="Z6677" s="7"/>
    </row>
    <row r="6678">
      <c r="A6678" s="7"/>
      <c r="B6678" s="7"/>
      <c r="C6678" s="7"/>
      <c r="D6678" s="7"/>
      <c r="E6678" s="7"/>
      <c r="F6678" s="7"/>
      <c r="G6678" s="7"/>
      <c r="H6678" s="7"/>
      <c r="I6678" s="7"/>
      <c r="J6678" s="7"/>
      <c r="K6678" s="7"/>
      <c r="L6678" s="7"/>
      <c r="M6678" s="7"/>
      <c r="N6678" s="7"/>
      <c r="O6678" s="7"/>
      <c r="P6678" s="7"/>
      <c r="Q6678" s="7"/>
      <c r="R6678" s="7"/>
      <c r="S6678" s="7"/>
      <c r="T6678" s="7"/>
      <c r="U6678" s="7"/>
      <c r="V6678" s="7"/>
      <c r="W6678" s="7"/>
      <c r="X6678" s="7"/>
      <c r="Y6678" s="7"/>
      <c r="Z6678" s="7"/>
    </row>
    <row r="6679">
      <c r="A6679" s="7"/>
      <c r="B6679" s="7"/>
      <c r="C6679" s="7"/>
      <c r="D6679" s="7"/>
      <c r="E6679" s="7"/>
      <c r="F6679" s="7"/>
      <c r="G6679" s="7"/>
      <c r="H6679" s="7"/>
      <c r="I6679" s="7"/>
      <c r="J6679" s="7"/>
      <c r="K6679" s="7"/>
      <c r="L6679" s="7"/>
      <c r="M6679" s="7"/>
      <c r="N6679" s="7"/>
      <c r="O6679" s="7"/>
      <c r="P6679" s="7"/>
      <c r="Q6679" s="7"/>
      <c r="R6679" s="7"/>
      <c r="S6679" s="7"/>
      <c r="T6679" s="7"/>
      <c r="U6679" s="7"/>
      <c r="V6679" s="7"/>
      <c r="W6679" s="7"/>
      <c r="X6679" s="7"/>
      <c r="Y6679" s="7"/>
      <c r="Z6679" s="7"/>
    </row>
    <row r="6680">
      <c r="A6680" s="7"/>
      <c r="B6680" s="7"/>
      <c r="C6680" s="7"/>
      <c r="D6680" s="7"/>
      <c r="E6680" s="7"/>
      <c r="F6680" s="7"/>
      <c r="G6680" s="7"/>
      <c r="H6680" s="7"/>
      <c r="I6680" s="7"/>
      <c r="J6680" s="7"/>
      <c r="K6680" s="7"/>
      <c r="L6680" s="7"/>
      <c r="M6680" s="7"/>
      <c r="N6680" s="7"/>
      <c r="O6680" s="7"/>
      <c r="P6680" s="7"/>
      <c r="Q6680" s="7"/>
      <c r="R6680" s="7"/>
      <c r="S6680" s="7"/>
      <c r="T6680" s="7"/>
      <c r="U6680" s="7"/>
      <c r="V6680" s="7"/>
      <c r="W6680" s="7"/>
      <c r="X6680" s="7"/>
      <c r="Y6680" s="7"/>
      <c r="Z6680" s="7"/>
    </row>
    <row r="6681">
      <c r="A6681" s="7"/>
      <c r="B6681" s="7"/>
      <c r="C6681" s="7"/>
      <c r="D6681" s="7"/>
      <c r="E6681" s="7"/>
      <c r="F6681" s="7"/>
      <c r="G6681" s="7"/>
      <c r="H6681" s="7"/>
      <c r="I6681" s="7"/>
      <c r="J6681" s="7"/>
      <c r="K6681" s="7"/>
      <c r="L6681" s="7"/>
      <c r="M6681" s="7"/>
      <c r="N6681" s="7"/>
      <c r="O6681" s="7"/>
      <c r="P6681" s="7"/>
      <c r="Q6681" s="7"/>
      <c r="R6681" s="7"/>
      <c r="S6681" s="7"/>
      <c r="T6681" s="7"/>
      <c r="U6681" s="7"/>
      <c r="V6681" s="7"/>
      <c r="W6681" s="7"/>
      <c r="X6681" s="7"/>
      <c r="Y6681" s="7"/>
      <c r="Z6681" s="7"/>
    </row>
    <row r="6682">
      <c r="A6682" s="7"/>
      <c r="B6682" s="7"/>
      <c r="C6682" s="7"/>
      <c r="D6682" s="7"/>
      <c r="E6682" s="7"/>
      <c r="F6682" s="7"/>
      <c r="G6682" s="7"/>
      <c r="H6682" s="7"/>
      <c r="I6682" s="7"/>
      <c r="J6682" s="7"/>
      <c r="K6682" s="7"/>
      <c r="L6682" s="7"/>
      <c r="M6682" s="7"/>
      <c r="N6682" s="7"/>
      <c r="O6682" s="7"/>
      <c r="P6682" s="7"/>
      <c r="Q6682" s="7"/>
      <c r="R6682" s="7"/>
      <c r="S6682" s="7"/>
      <c r="T6682" s="7"/>
      <c r="U6682" s="7"/>
      <c r="V6682" s="7"/>
      <c r="W6682" s="7"/>
      <c r="X6682" s="7"/>
      <c r="Y6682" s="7"/>
      <c r="Z6682" s="7"/>
    </row>
    <row r="6683">
      <c r="A6683" s="7"/>
      <c r="B6683" s="7"/>
      <c r="C6683" s="7"/>
      <c r="D6683" s="7"/>
      <c r="E6683" s="7"/>
      <c r="F6683" s="7"/>
      <c r="G6683" s="7"/>
      <c r="H6683" s="7"/>
      <c r="I6683" s="7"/>
      <c r="J6683" s="7"/>
      <c r="K6683" s="7"/>
      <c r="L6683" s="7"/>
      <c r="M6683" s="7"/>
      <c r="N6683" s="7"/>
      <c r="O6683" s="7"/>
      <c r="P6683" s="7"/>
      <c r="Q6683" s="7"/>
      <c r="R6683" s="7"/>
      <c r="S6683" s="7"/>
      <c r="T6683" s="7"/>
      <c r="U6683" s="7"/>
      <c r="V6683" s="7"/>
      <c r="W6683" s="7"/>
      <c r="X6683" s="7"/>
      <c r="Y6683" s="7"/>
      <c r="Z6683" s="7"/>
    </row>
    <row r="6684">
      <c r="A6684" s="7"/>
      <c r="B6684" s="7"/>
      <c r="C6684" s="7"/>
      <c r="D6684" s="7"/>
      <c r="E6684" s="7"/>
      <c r="F6684" s="7"/>
      <c r="G6684" s="7"/>
      <c r="H6684" s="7"/>
      <c r="I6684" s="7"/>
      <c r="J6684" s="7"/>
      <c r="K6684" s="7"/>
      <c r="L6684" s="7"/>
      <c r="M6684" s="7"/>
      <c r="N6684" s="7"/>
      <c r="O6684" s="7"/>
      <c r="P6684" s="7"/>
      <c r="Q6684" s="7"/>
      <c r="R6684" s="7"/>
      <c r="S6684" s="7"/>
      <c r="T6684" s="7"/>
      <c r="U6684" s="7"/>
      <c r="V6684" s="7"/>
      <c r="W6684" s="7"/>
      <c r="X6684" s="7"/>
      <c r="Y6684" s="7"/>
      <c r="Z6684" s="7"/>
    </row>
    <row r="6685">
      <c r="A6685" s="7"/>
      <c r="B6685" s="7"/>
      <c r="C6685" s="7"/>
      <c r="D6685" s="7"/>
      <c r="E6685" s="7"/>
      <c r="F6685" s="7"/>
      <c r="G6685" s="7"/>
      <c r="H6685" s="7"/>
      <c r="I6685" s="7"/>
      <c r="J6685" s="7"/>
      <c r="K6685" s="7"/>
      <c r="L6685" s="7"/>
      <c r="M6685" s="7"/>
      <c r="N6685" s="7"/>
      <c r="O6685" s="7"/>
      <c r="P6685" s="7"/>
      <c r="Q6685" s="7"/>
      <c r="R6685" s="7"/>
      <c r="S6685" s="7"/>
      <c r="T6685" s="7"/>
      <c r="U6685" s="7"/>
      <c r="V6685" s="7"/>
      <c r="W6685" s="7"/>
      <c r="X6685" s="7"/>
      <c r="Y6685" s="7"/>
      <c r="Z6685" s="7"/>
    </row>
    <row r="6686">
      <c r="A6686" s="7"/>
      <c r="B6686" s="7"/>
      <c r="C6686" s="7"/>
      <c r="D6686" s="7"/>
      <c r="E6686" s="7"/>
      <c r="F6686" s="7"/>
      <c r="G6686" s="7"/>
      <c r="H6686" s="7"/>
      <c r="I6686" s="7"/>
      <c r="J6686" s="7"/>
      <c r="K6686" s="7"/>
      <c r="L6686" s="7"/>
      <c r="M6686" s="7"/>
      <c r="N6686" s="7"/>
      <c r="O6686" s="7"/>
      <c r="P6686" s="7"/>
      <c r="Q6686" s="7"/>
      <c r="R6686" s="7"/>
      <c r="S6686" s="7"/>
      <c r="T6686" s="7"/>
      <c r="U6686" s="7"/>
      <c r="V6686" s="7"/>
      <c r="W6686" s="7"/>
      <c r="X6686" s="7"/>
      <c r="Y6686" s="7"/>
      <c r="Z6686" s="7"/>
    </row>
    <row r="6687">
      <c r="A6687" s="7"/>
      <c r="B6687" s="7"/>
      <c r="C6687" s="7"/>
      <c r="D6687" s="7"/>
      <c r="E6687" s="7"/>
      <c r="F6687" s="7"/>
      <c r="G6687" s="7"/>
      <c r="H6687" s="7"/>
      <c r="I6687" s="7"/>
      <c r="J6687" s="7"/>
      <c r="K6687" s="7"/>
      <c r="L6687" s="7"/>
      <c r="M6687" s="7"/>
      <c r="N6687" s="7"/>
      <c r="O6687" s="7"/>
      <c r="P6687" s="7"/>
      <c r="Q6687" s="7"/>
      <c r="R6687" s="7"/>
      <c r="S6687" s="7"/>
      <c r="T6687" s="7"/>
      <c r="U6687" s="7"/>
      <c r="V6687" s="7"/>
      <c r="W6687" s="7"/>
      <c r="X6687" s="7"/>
      <c r="Y6687" s="7"/>
      <c r="Z6687" s="7"/>
    </row>
    <row r="6688">
      <c r="A6688" s="7"/>
      <c r="B6688" s="7"/>
      <c r="C6688" s="7"/>
      <c r="D6688" s="7"/>
      <c r="E6688" s="7"/>
      <c r="F6688" s="7"/>
      <c r="G6688" s="7"/>
      <c r="H6688" s="7"/>
      <c r="I6688" s="7"/>
      <c r="J6688" s="7"/>
      <c r="K6688" s="7"/>
      <c r="L6688" s="7"/>
      <c r="M6688" s="7"/>
      <c r="N6688" s="7"/>
      <c r="O6688" s="7"/>
      <c r="P6688" s="7"/>
      <c r="Q6688" s="7"/>
      <c r="R6688" s="7"/>
      <c r="S6688" s="7"/>
      <c r="T6688" s="7"/>
      <c r="U6688" s="7"/>
      <c r="V6688" s="7"/>
      <c r="W6688" s="7"/>
      <c r="X6688" s="7"/>
      <c r="Y6688" s="7"/>
      <c r="Z6688" s="7"/>
    </row>
    <row r="6689">
      <c r="A6689" s="7"/>
      <c r="B6689" s="7"/>
      <c r="C6689" s="7"/>
      <c r="D6689" s="7"/>
      <c r="E6689" s="7"/>
      <c r="F6689" s="7"/>
      <c r="G6689" s="7"/>
      <c r="H6689" s="7"/>
      <c r="I6689" s="7"/>
      <c r="J6689" s="7"/>
      <c r="K6689" s="7"/>
      <c r="L6689" s="7"/>
      <c r="M6689" s="7"/>
      <c r="N6689" s="7"/>
      <c r="O6689" s="7"/>
      <c r="P6689" s="7"/>
      <c r="Q6689" s="7"/>
      <c r="R6689" s="7"/>
      <c r="S6689" s="7"/>
      <c r="T6689" s="7"/>
      <c r="U6689" s="7"/>
      <c r="V6689" s="7"/>
      <c r="W6689" s="7"/>
      <c r="X6689" s="7"/>
      <c r="Y6689" s="7"/>
      <c r="Z6689" s="7"/>
    </row>
    <row r="6690">
      <c r="A6690" s="7"/>
      <c r="B6690" s="7"/>
      <c r="C6690" s="7"/>
      <c r="D6690" s="7"/>
      <c r="E6690" s="7"/>
      <c r="F6690" s="7"/>
      <c r="G6690" s="7"/>
      <c r="H6690" s="7"/>
      <c r="I6690" s="7"/>
      <c r="J6690" s="7"/>
      <c r="K6690" s="7"/>
      <c r="L6690" s="7"/>
      <c r="M6690" s="7"/>
      <c r="N6690" s="7"/>
      <c r="O6690" s="7"/>
      <c r="P6690" s="7"/>
      <c r="Q6690" s="7"/>
      <c r="R6690" s="7"/>
      <c r="S6690" s="7"/>
      <c r="T6690" s="7"/>
      <c r="U6690" s="7"/>
      <c r="V6690" s="7"/>
      <c r="W6690" s="7"/>
      <c r="X6690" s="7"/>
      <c r="Y6690" s="7"/>
      <c r="Z6690" s="7"/>
    </row>
    <row r="6691">
      <c r="A6691" s="7"/>
      <c r="B6691" s="7"/>
      <c r="C6691" s="7"/>
      <c r="D6691" s="7"/>
      <c r="E6691" s="7"/>
      <c r="F6691" s="7"/>
      <c r="G6691" s="7"/>
      <c r="H6691" s="7"/>
      <c r="I6691" s="7"/>
      <c r="J6691" s="7"/>
      <c r="K6691" s="7"/>
      <c r="L6691" s="7"/>
      <c r="M6691" s="7"/>
      <c r="N6691" s="7"/>
      <c r="O6691" s="7"/>
      <c r="P6691" s="7"/>
      <c r="Q6691" s="7"/>
      <c r="R6691" s="7"/>
      <c r="S6691" s="7"/>
      <c r="T6691" s="7"/>
      <c r="U6691" s="7"/>
      <c r="V6691" s="7"/>
      <c r="W6691" s="7"/>
      <c r="X6691" s="7"/>
      <c r="Y6691" s="7"/>
      <c r="Z6691" s="7"/>
    </row>
    <row r="6692">
      <c r="A6692" s="7"/>
      <c r="B6692" s="7"/>
      <c r="C6692" s="7"/>
      <c r="D6692" s="7"/>
      <c r="E6692" s="7"/>
      <c r="F6692" s="7"/>
      <c r="G6692" s="7"/>
      <c r="H6692" s="7"/>
      <c r="I6692" s="7"/>
      <c r="J6692" s="7"/>
      <c r="K6692" s="7"/>
      <c r="L6692" s="7"/>
      <c r="M6692" s="7"/>
      <c r="N6692" s="7"/>
      <c r="O6692" s="7"/>
      <c r="P6692" s="7"/>
      <c r="Q6692" s="7"/>
      <c r="R6692" s="7"/>
      <c r="S6692" s="7"/>
      <c r="T6692" s="7"/>
      <c r="U6692" s="7"/>
      <c r="V6692" s="7"/>
      <c r="W6692" s="7"/>
      <c r="X6692" s="7"/>
      <c r="Y6692" s="7"/>
      <c r="Z6692" s="7"/>
    </row>
    <row r="6693">
      <c r="A6693" s="7"/>
      <c r="B6693" s="7"/>
      <c r="C6693" s="7"/>
      <c r="D6693" s="7"/>
      <c r="E6693" s="7"/>
      <c r="F6693" s="7"/>
      <c r="G6693" s="7"/>
      <c r="H6693" s="7"/>
      <c r="I6693" s="7"/>
      <c r="J6693" s="7"/>
      <c r="K6693" s="7"/>
      <c r="L6693" s="7"/>
      <c r="M6693" s="7"/>
      <c r="N6693" s="7"/>
      <c r="O6693" s="7"/>
      <c r="P6693" s="7"/>
      <c r="Q6693" s="7"/>
      <c r="R6693" s="7"/>
      <c r="S6693" s="7"/>
      <c r="T6693" s="7"/>
      <c r="U6693" s="7"/>
      <c r="V6693" s="7"/>
      <c r="W6693" s="7"/>
      <c r="X6693" s="7"/>
      <c r="Y6693" s="7"/>
      <c r="Z6693" s="7"/>
    </row>
    <row r="6694">
      <c r="A6694" s="7"/>
      <c r="B6694" s="7"/>
      <c r="C6694" s="7"/>
      <c r="D6694" s="7"/>
      <c r="E6694" s="7"/>
      <c r="F6694" s="7"/>
      <c r="G6694" s="7"/>
      <c r="H6694" s="7"/>
      <c r="I6694" s="7"/>
      <c r="J6694" s="7"/>
      <c r="K6694" s="7"/>
      <c r="L6694" s="7"/>
      <c r="M6694" s="7"/>
      <c r="N6694" s="7"/>
      <c r="O6694" s="7"/>
      <c r="P6694" s="7"/>
      <c r="Q6694" s="7"/>
      <c r="R6694" s="7"/>
      <c r="S6694" s="7"/>
      <c r="T6694" s="7"/>
      <c r="U6694" s="7"/>
      <c r="V6694" s="7"/>
      <c r="W6694" s="7"/>
      <c r="X6694" s="7"/>
      <c r="Y6694" s="7"/>
      <c r="Z6694" s="7"/>
    </row>
    <row r="6695">
      <c r="A6695" s="7"/>
      <c r="B6695" s="7"/>
      <c r="C6695" s="7"/>
      <c r="D6695" s="7"/>
      <c r="E6695" s="7"/>
      <c r="F6695" s="7"/>
      <c r="G6695" s="7"/>
      <c r="H6695" s="7"/>
      <c r="I6695" s="7"/>
      <c r="J6695" s="7"/>
      <c r="K6695" s="7"/>
      <c r="L6695" s="7"/>
      <c r="M6695" s="7"/>
      <c r="N6695" s="7"/>
      <c r="O6695" s="7"/>
      <c r="P6695" s="7"/>
      <c r="Q6695" s="7"/>
      <c r="R6695" s="7"/>
      <c r="S6695" s="7"/>
      <c r="T6695" s="7"/>
      <c r="U6695" s="7"/>
      <c r="V6695" s="7"/>
      <c r="W6695" s="7"/>
      <c r="X6695" s="7"/>
      <c r="Y6695" s="7"/>
      <c r="Z6695" s="7"/>
    </row>
    <row r="6696">
      <c r="A6696" s="7"/>
      <c r="B6696" s="7"/>
      <c r="C6696" s="7"/>
      <c r="D6696" s="7"/>
      <c r="E6696" s="7"/>
      <c r="F6696" s="7"/>
      <c r="G6696" s="7"/>
      <c r="H6696" s="7"/>
      <c r="I6696" s="7"/>
      <c r="J6696" s="7"/>
      <c r="K6696" s="7"/>
      <c r="L6696" s="7"/>
      <c r="M6696" s="7"/>
      <c r="N6696" s="7"/>
      <c r="O6696" s="7"/>
      <c r="P6696" s="7"/>
      <c r="Q6696" s="7"/>
      <c r="R6696" s="7"/>
      <c r="S6696" s="7"/>
      <c r="T6696" s="7"/>
      <c r="U6696" s="7"/>
      <c r="V6696" s="7"/>
      <c r="W6696" s="7"/>
      <c r="X6696" s="7"/>
      <c r="Y6696" s="7"/>
      <c r="Z6696" s="7"/>
    </row>
    <row r="6697">
      <c r="A6697" s="7"/>
      <c r="B6697" s="7"/>
      <c r="C6697" s="7"/>
      <c r="D6697" s="7"/>
      <c r="E6697" s="7"/>
      <c r="F6697" s="7"/>
      <c r="G6697" s="7"/>
      <c r="H6697" s="7"/>
      <c r="I6697" s="7"/>
      <c r="J6697" s="7"/>
      <c r="K6697" s="7"/>
      <c r="L6697" s="7"/>
      <c r="M6697" s="7"/>
      <c r="N6697" s="7"/>
      <c r="O6697" s="7"/>
      <c r="P6697" s="7"/>
      <c r="Q6697" s="7"/>
      <c r="R6697" s="7"/>
      <c r="S6697" s="7"/>
      <c r="T6697" s="7"/>
      <c r="U6697" s="7"/>
      <c r="V6697" s="7"/>
      <c r="W6697" s="7"/>
      <c r="X6697" s="7"/>
      <c r="Y6697" s="7"/>
      <c r="Z6697" s="7"/>
    </row>
    <row r="6698">
      <c r="A6698" s="7"/>
      <c r="B6698" s="7"/>
      <c r="C6698" s="7"/>
      <c r="D6698" s="7"/>
      <c r="E6698" s="7"/>
      <c r="F6698" s="7"/>
      <c r="G6698" s="7"/>
      <c r="H6698" s="7"/>
      <c r="I6698" s="7"/>
      <c r="J6698" s="7"/>
      <c r="K6698" s="7"/>
      <c r="L6698" s="7"/>
      <c r="M6698" s="7"/>
      <c r="N6698" s="7"/>
      <c r="O6698" s="7"/>
      <c r="P6698" s="7"/>
      <c r="Q6698" s="7"/>
      <c r="R6698" s="7"/>
      <c r="S6698" s="7"/>
      <c r="T6698" s="7"/>
      <c r="U6698" s="7"/>
      <c r="V6698" s="7"/>
      <c r="W6698" s="7"/>
      <c r="X6698" s="7"/>
      <c r="Y6698" s="7"/>
      <c r="Z6698" s="7"/>
    </row>
    <row r="6699">
      <c r="A6699" s="7"/>
      <c r="B6699" s="7"/>
      <c r="C6699" s="7"/>
      <c r="D6699" s="7"/>
      <c r="E6699" s="7"/>
      <c r="F6699" s="7"/>
      <c r="G6699" s="7"/>
      <c r="H6699" s="7"/>
      <c r="I6699" s="7"/>
      <c r="J6699" s="7"/>
      <c r="K6699" s="7"/>
      <c r="L6699" s="7"/>
      <c r="M6699" s="7"/>
      <c r="N6699" s="7"/>
      <c r="O6699" s="7"/>
      <c r="P6699" s="7"/>
      <c r="Q6699" s="7"/>
      <c r="R6699" s="7"/>
      <c r="S6699" s="7"/>
      <c r="T6699" s="7"/>
      <c r="U6699" s="7"/>
      <c r="V6699" s="7"/>
      <c r="W6699" s="7"/>
      <c r="X6699" s="7"/>
      <c r="Y6699" s="7"/>
      <c r="Z6699" s="7"/>
    </row>
    <row r="6700">
      <c r="A6700" s="7"/>
      <c r="B6700" s="7"/>
      <c r="C6700" s="7"/>
      <c r="D6700" s="7"/>
      <c r="E6700" s="7"/>
      <c r="F6700" s="7"/>
      <c r="G6700" s="7"/>
      <c r="H6700" s="7"/>
      <c r="I6700" s="7"/>
      <c r="J6700" s="7"/>
      <c r="K6700" s="7"/>
      <c r="L6700" s="7"/>
      <c r="M6700" s="7"/>
      <c r="N6700" s="7"/>
      <c r="O6700" s="7"/>
      <c r="P6700" s="7"/>
      <c r="Q6700" s="7"/>
      <c r="R6700" s="7"/>
      <c r="S6700" s="7"/>
      <c r="T6700" s="7"/>
      <c r="U6700" s="7"/>
      <c r="V6700" s="7"/>
      <c r="W6700" s="7"/>
      <c r="X6700" s="7"/>
      <c r="Y6700" s="7"/>
      <c r="Z6700" s="7"/>
    </row>
    <row r="6701">
      <c r="A6701" s="7"/>
      <c r="B6701" s="7"/>
      <c r="C6701" s="7"/>
      <c r="D6701" s="7"/>
      <c r="E6701" s="7"/>
      <c r="F6701" s="7"/>
      <c r="G6701" s="7"/>
      <c r="H6701" s="7"/>
      <c r="I6701" s="7"/>
      <c r="J6701" s="7"/>
      <c r="K6701" s="7"/>
      <c r="L6701" s="7"/>
      <c r="M6701" s="7"/>
      <c r="N6701" s="7"/>
      <c r="O6701" s="7"/>
      <c r="P6701" s="7"/>
      <c r="Q6701" s="7"/>
      <c r="R6701" s="7"/>
      <c r="S6701" s="7"/>
      <c r="T6701" s="7"/>
      <c r="U6701" s="7"/>
      <c r="V6701" s="7"/>
      <c r="W6701" s="7"/>
      <c r="X6701" s="7"/>
      <c r="Y6701" s="7"/>
      <c r="Z6701" s="7"/>
    </row>
    <row r="6702">
      <c r="A6702" s="7"/>
      <c r="B6702" s="7"/>
      <c r="C6702" s="7"/>
      <c r="D6702" s="7"/>
      <c r="E6702" s="7"/>
      <c r="F6702" s="7"/>
      <c r="G6702" s="7"/>
      <c r="H6702" s="7"/>
      <c r="I6702" s="7"/>
      <c r="J6702" s="7"/>
      <c r="K6702" s="7"/>
      <c r="L6702" s="7"/>
      <c r="M6702" s="7"/>
      <c r="N6702" s="7"/>
      <c r="O6702" s="7"/>
      <c r="P6702" s="7"/>
      <c r="Q6702" s="7"/>
      <c r="R6702" s="7"/>
      <c r="S6702" s="7"/>
      <c r="T6702" s="7"/>
      <c r="U6702" s="7"/>
      <c r="V6702" s="7"/>
      <c r="W6702" s="7"/>
      <c r="X6702" s="7"/>
      <c r="Y6702" s="7"/>
      <c r="Z6702" s="7"/>
    </row>
    <row r="6703">
      <c r="A6703" s="7"/>
      <c r="B6703" s="7"/>
      <c r="C6703" s="7"/>
      <c r="D6703" s="7"/>
      <c r="E6703" s="7"/>
      <c r="F6703" s="7"/>
      <c r="G6703" s="7"/>
      <c r="H6703" s="7"/>
      <c r="I6703" s="7"/>
      <c r="J6703" s="7"/>
      <c r="K6703" s="7"/>
      <c r="L6703" s="7"/>
      <c r="M6703" s="7"/>
      <c r="N6703" s="7"/>
      <c r="O6703" s="7"/>
      <c r="P6703" s="7"/>
      <c r="Q6703" s="7"/>
      <c r="R6703" s="7"/>
      <c r="S6703" s="7"/>
      <c r="T6703" s="7"/>
      <c r="U6703" s="7"/>
      <c r="V6703" s="7"/>
      <c r="W6703" s="7"/>
      <c r="X6703" s="7"/>
      <c r="Y6703" s="7"/>
      <c r="Z6703" s="7"/>
    </row>
    <row r="6704">
      <c r="A6704" s="7"/>
      <c r="B6704" s="7"/>
      <c r="C6704" s="7"/>
      <c r="D6704" s="7"/>
      <c r="E6704" s="7"/>
      <c r="F6704" s="7"/>
      <c r="G6704" s="7"/>
      <c r="H6704" s="7"/>
      <c r="I6704" s="7"/>
      <c r="J6704" s="7"/>
      <c r="K6704" s="7"/>
      <c r="L6704" s="7"/>
      <c r="M6704" s="7"/>
      <c r="N6704" s="7"/>
      <c r="O6704" s="7"/>
      <c r="P6704" s="7"/>
      <c r="Q6704" s="7"/>
      <c r="R6704" s="7"/>
      <c r="S6704" s="7"/>
      <c r="T6704" s="7"/>
      <c r="U6704" s="7"/>
      <c r="V6704" s="7"/>
      <c r="W6704" s="7"/>
      <c r="X6704" s="7"/>
      <c r="Y6704" s="7"/>
      <c r="Z6704" s="7"/>
    </row>
    <row r="6705">
      <c r="A6705" s="7"/>
      <c r="B6705" s="7"/>
      <c r="C6705" s="7"/>
      <c r="D6705" s="7"/>
      <c r="E6705" s="7"/>
      <c r="F6705" s="7"/>
      <c r="G6705" s="7"/>
      <c r="H6705" s="7"/>
      <c r="I6705" s="7"/>
      <c r="J6705" s="7"/>
      <c r="K6705" s="7"/>
      <c r="L6705" s="7"/>
      <c r="M6705" s="7"/>
      <c r="N6705" s="7"/>
      <c r="O6705" s="7"/>
      <c r="P6705" s="7"/>
      <c r="Q6705" s="7"/>
      <c r="R6705" s="7"/>
      <c r="S6705" s="7"/>
      <c r="T6705" s="7"/>
      <c r="U6705" s="7"/>
      <c r="V6705" s="7"/>
      <c r="W6705" s="7"/>
      <c r="X6705" s="7"/>
      <c r="Y6705" s="7"/>
      <c r="Z6705" s="7"/>
    </row>
    <row r="6706">
      <c r="A6706" s="7"/>
      <c r="B6706" s="7"/>
      <c r="C6706" s="7"/>
      <c r="D6706" s="7"/>
      <c r="E6706" s="7"/>
      <c r="F6706" s="7"/>
      <c r="G6706" s="7"/>
      <c r="H6706" s="7"/>
      <c r="I6706" s="7"/>
      <c r="J6706" s="7"/>
      <c r="K6706" s="7"/>
      <c r="L6706" s="7"/>
      <c r="M6706" s="7"/>
      <c r="N6706" s="7"/>
      <c r="O6706" s="7"/>
      <c r="P6706" s="7"/>
      <c r="Q6706" s="7"/>
      <c r="R6706" s="7"/>
      <c r="S6706" s="7"/>
      <c r="T6706" s="7"/>
      <c r="U6706" s="7"/>
      <c r="V6706" s="7"/>
      <c r="W6706" s="7"/>
      <c r="X6706" s="7"/>
      <c r="Y6706" s="7"/>
      <c r="Z6706" s="7"/>
    </row>
    <row r="6707">
      <c r="A6707" s="7"/>
      <c r="B6707" s="7"/>
      <c r="C6707" s="7"/>
      <c r="D6707" s="7"/>
      <c r="E6707" s="7"/>
      <c r="F6707" s="7"/>
      <c r="G6707" s="7"/>
      <c r="H6707" s="7"/>
      <c r="I6707" s="7"/>
      <c r="J6707" s="7"/>
      <c r="K6707" s="7"/>
      <c r="L6707" s="7"/>
      <c r="M6707" s="7"/>
      <c r="N6707" s="7"/>
      <c r="O6707" s="7"/>
      <c r="P6707" s="7"/>
      <c r="Q6707" s="7"/>
      <c r="R6707" s="7"/>
      <c r="S6707" s="7"/>
      <c r="T6707" s="7"/>
      <c r="U6707" s="7"/>
      <c r="V6707" s="7"/>
      <c r="W6707" s="7"/>
      <c r="X6707" s="7"/>
      <c r="Y6707" s="7"/>
      <c r="Z6707" s="7"/>
    </row>
    <row r="6708">
      <c r="A6708" s="7"/>
      <c r="B6708" s="7"/>
      <c r="C6708" s="7"/>
      <c r="D6708" s="7"/>
      <c r="E6708" s="7"/>
      <c r="F6708" s="7"/>
      <c r="G6708" s="7"/>
      <c r="H6708" s="7"/>
      <c r="I6708" s="7"/>
      <c r="J6708" s="7"/>
      <c r="K6708" s="7"/>
      <c r="L6708" s="7"/>
      <c r="M6708" s="7"/>
      <c r="N6708" s="7"/>
      <c r="O6708" s="7"/>
      <c r="P6708" s="7"/>
      <c r="Q6708" s="7"/>
      <c r="R6708" s="7"/>
      <c r="S6708" s="7"/>
      <c r="T6708" s="7"/>
      <c r="U6708" s="7"/>
      <c r="V6708" s="7"/>
      <c r="W6708" s="7"/>
      <c r="X6708" s="7"/>
      <c r="Y6708" s="7"/>
      <c r="Z6708" s="7"/>
    </row>
    <row r="6709">
      <c r="A6709" s="7"/>
      <c r="B6709" s="7"/>
      <c r="C6709" s="7"/>
      <c r="D6709" s="7"/>
      <c r="E6709" s="7"/>
      <c r="F6709" s="7"/>
      <c r="G6709" s="7"/>
      <c r="H6709" s="7"/>
      <c r="I6709" s="7"/>
      <c r="J6709" s="7"/>
      <c r="K6709" s="7"/>
      <c r="L6709" s="7"/>
      <c r="M6709" s="7"/>
      <c r="N6709" s="7"/>
      <c r="O6709" s="7"/>
      <c r="P6709" s="7"/>
      <c r="Q6709" s="7"/>
      <c r="R6709" s="7"/>
      <c r="S6709" s="7"/>
      <c r="T6709" s="7"/>
      <c r="U6709" s="7"/>
      <c r="V6709" s="7"/>
      <c r="W6709" s="7"/>
      <c r="X6709" s="7"/>
      <c r="Y6709" s="7"/>
      <c r="Z6709" s="7"/>
    </row>
    <row r="6710">
      <c r="A6710" s="7"/>
      <c r="B6710" s="7"/>
      <c r="C6710" s="7"/>
      <c r="D6710" s="7"/>
      <c r="E6710" s="7"/>
      <c r="F6710" s="7"/>
      <c r="G6710" s="7"/>
      <c r="H6710" s="7"/>
      <c r="I6710" s="7"/>
      <c r="J6710" s="7"/>
      <c r="K6710" s="7"/>
      <c r="L6710" s="7"/>
      <c r="M6710" s="7"/>
      <c r="N6710" s="7"/>
      <c r="O6710" s="7"/>
      <c r="P6710" s="7"/>
      <c r="Q6710" s="7"/>
      <c r="R6710" s="7"/>
      <c r="S6710" s="7"/>
      <c r="T6710" s="7"/>
      <c r="U6710" s="7"/>
      <c r="V6710" s="7"/>
      <c r="W6710" s="7"/>
      <c r="X6710" s="7"/>
      <c r="Y6710" s="7"/>
      <c r="Z6710" s="7"/>
    </row>
    <row r="6711">
      <c r="A6711" s="7"/>
      <c r="B6711" s="7"/>
      <c r="C6711" s="7"/>
      <c r="D6711" s="7"/>
      <c r="E6711" s="7"/>
      <c r="F6711" s="7"/>
      <c r="G6711" s="7"/>
      <c r="H6711" s="7"/>
      <c r="I6711" s="7"/>
      <c r="J6711" s="7"/>
      <c r="K6711" s="7"/>
      <c r="L6711" s="7"/>
      <c r="M6711" s="7"/>
      <c r="N6711" s="7"/>
      <c r="O6711" s="7"/>
      <c r="P6711" s="7"/>
      <c r="Q6711" s="7"/>
      <c r="R6711" s="7"/>
      <c r="S6711" s="7"/>
      <c r="T6711" s="7"/>
      <c r="U6711" s="7"/>
      <c r="V6711" s="7"/>
      <c r="W6711" s="7"/>
      <c r="X6711" s="7"/>
      <c r="Y6711" s="7"/>
      <c r="Z6711" s="7"/>
    </row>
    <row r="6712">
      <c r="A6712" s="7"/>
      <c r="B6712" s="7"/>
      <c r="C6712" s="7"/>
      <c r="D6712" s="7"/>
      <c r="E6712" s="7"/>
      <c r="F6712" s="7"/>
      <c r="G6712" s="7"/>
      <c r="H6712" s="7"/>
      <c r="I6712" s="7"/>
      <c r="J6712" s="7"/>
      <c r="K6712" s="7"/>
      <c r="L6712" s="7"/>
      <c r="M6712" s="7"/>
      <c r="N6712" s="7"/>
      <c r="O6712" s="7"/>
      <c r="P6712" s="7"/>
      <c r="Q6712" s="7"/>
      <c r="R6712" s="7"/>
      <c r="S6712" s="7"/>
      <c r="T6712" s="7"/>
      <c r="U6712" s="7"/>
      <c r="V6712" s="7"/>
      <c r="W6712" s="7"/>
      <c r="X6712" s="7"/>
      <c r="Y6712" s="7"/>
      <c r="Z6712" s="7"/>
    </row>
    <row r="6713">
      <c r="A6713" s="7"/>
      <c r="B6713" s="7"/>
      <c r="C6713" s="7"/>
      <c r="D6713" s="7"/>
      <c r="E6713" s="7"/>
      <c r="F6713" s="7"/>
      <c r="G6713" s="7"/>
      <c r="H6713" s="7"/>
      <c r="I6713" s="7"/>
      <c r="J6713" s="7"/>
      <c r="K6713" s="7"/>
      <c r="L6713" s="7"/>
      <c r="M6713" s="7"/>
      <c r="N6713" s="7"/>
      <c r="O6713" s="7"/>
      <c r="P6713" s="7"/>
      <c r="Q6713" s="7"/>
      <c r="R6713" s="7"/>
      <c r="S6713" s="7"/>
      <c r="T6713" s="7"/>
      <c r="U6713" s="7"/>
      <c r="V6713" s="7"/>
      <c r="W6713" s="7"/>
      <c r="X6713" s="7"/>
      <c r="Y6713" s="7"/>
      <c r="Z6713" s="7"/>
    </row>
    <row r="6714">
      <c r="A6714" s="7"/>
      <c r="B6714" s="7"/>
      <c r="C6714" s="7"/>
      <c r="D6714" s="7"/>
      <c r="E6714" s="7"/>
      <c r="F6714" s="7"/>
      <c r="G6714" s="7"/>
      <c r="H6714" s="7"/>
      <c r="I6714" s="7"/>
      <c r="J6714" s="7"/>
      <c r="K6714" s="7"/>
      <c r="L6714" s="7"/>
      <c r="M6714" s="7"/>
      <c r="N6714" s="7"/>
      <c r="O6714" s="7"/>
      <c r="P6714" s="7"/>
      <c r="Q6714" s="7"/>
      <c r="R6714" s="7"/>
      <c r="S6714" s="7"/>
      <c r="T6714" s="7"/>
      <c r="U6714" s="7"/>
      <c r="V6714" s="7"/>
      <c r="W6714" s="7"/>
      <c r="X6714" s="7"/>
      <c r="Y6714" s="7"/>
      <c r="Z6714" s="7"/>
    </row>
    <row r="6715">
      <c r="A6715" s="7"/>
      <c r="B6715" s="7"/>
      <c r="C6715" s="7"/>
      <c r="D6715" s="7"/>
      <c r="E6715" s="7"/>
      <c r="F6715" s="7"/>
      <c r="G6715" s="7"/>
      <c r="H6715" s="7"/>
      <c r="I6715" s="7"/>
      <c r="J6715" s="7"/>
      <c r="K6715" s="7"/>
      <c r="L6715" s="7"/>
      <c r="M6715" s="7"/>
      <c r="N6715" s="7"/>
      <c r="O6715" s="7"/>
      <c r="P6715" s="7"/>
      <c r="Q6715" s="7"/>
      <c r="R6715" s="7"/>
      <c r="S6715" s="7"/>
      <c r="T6715" s="7"/>
      <c r="U6715" s="7"/>
      <c r="V6715" s="7"/>
      <c r="W6715" s="7"/>
      <c r="X6715" s="7"/>
      <c r="Y6715" s="7"/>
      <c r="Z6715" s="7"/>
    </row>
    <row r="6716">
      <c r="A6716" s="7"/>
      <c r="B6716" s="7"/>
      <c r="C6716" s="7"/>
      <c r="D6716" s="7"/>
      <c r="E6716" s="7"/>
      <c r="F6716" s="7"/>
      <c r="G6716" s="7"/>
      <c r="H6716" s="7"/>
      <c r="I6716" s="7"/>
      <c r="J6716" s="7"/>
      <c r="K6716" s="7"/>
      <c r="L6716" s="7"/>
      <c r="M6716" s="7"/>
      <c r="N6716" s="7"/>
      <c r="O6716" s="7"/>
      <c r="P6716" s="7"/>
      <c r="Q6716" s="7"/>
      <c r="R6716" s="7"/>
      <c r="S6716" s="7"/>
      <c r="T6716" s="7"/>
      <c r="U6716" s="7"/>
      <c r="V6716" s="7"/>
      <c r="W6716" s="7"/>
      <c r="X6716" s="7"/>
      <c r="Y6716" s="7"/>
      <c r="Z6716" s="7"/>
    </row>
    <row r="6717">
      <c r="A6717" s="7"/>
      <c r="B6717" s="7"/>
      <c r="C6717" s="7"/>
      <c r="D6717" s="7"/>
      <c r="E6717" s="7"/>
      <c r="F6717" s="7"/>
      <c r="G6717" s="7"/>
      <c r="H6717" s="7"/>
      <c r="I6717" s="7"/>
      <c r="J6717" s="7"/>
      <c r="K6717" s="7"/>
      <c r="L6717" s="7"/>
      <c r="M6717" s="7"/>
      <c r="N6717" s="7"/>
      <c r="O6717" s="7"/>
      <c r="P6717" s="7"/>
      <c r="Q6717" s="7"/>
      <c r="R6717" s="7"/>
      <c r="S6717" s="7"/>
      <c r="T6717" s="7"/>
      <c r="U6717" s="7"/>
      <c r="V6717" s="7"/>
      <c r="W6717" s="7"/>
      <c r="X6717" s="7"/>
      <c r="Y6717" s="7"/>
      <c r="Z6717" s="7"/>
    </row>
    <row r="6718">
      <c r="A6718" s="7"/>
      <c r="B6718" s="7"/>
      <c r="C6718" s="7"/>
      <c r="D6718" s="7"/>
      <c r="E6718" s="7"/>
      <c r="F6718" s="7"/>
      <c r="G6718" s="7"/>
      <c r="H6718" s="7"/>
      <c r="I6718" s="7"/>
      <c r="J6718" s="7"/>
      <c r="K6718" s="7"/>
      <c r="L6718" s="7"/>
      <c r="M6718" s="7"/>
      <c r="N6718" s="7"/>
      <c r="O6718" s="7"/>
      <c r="P6718" s="7"/>
      <c r="Q6718" s="7"/>
      <c r="R6718" s="7"/>
      <c r="S6718" s="7"/>
      <c r="T6718" s="7"/>
      <c r="U6718" s="7"/>
      <c r="V6718" s="7"/>
      <c r="W6718" s="7"/>
      <c r="X6718" s="7"/>
      <c r="Y6718" s="7"/>
      <c r="Z6718" s="7"/>
    </row>
    <row r="6719">
      <c r="A6719" s="7"/>
      <c r="B6719" s="7"/>
      <c r="C6719" s="7"/>
      <c r="D6719" s="7"/>
      <c r="E6719" s="7"/>
      <c r="F6719" s="7"/>
      <c r="G6719" s="7"/>
      <c r="H6719" s="7"/>
      <c r="I6719" s="7"/>
      <c r="J6719" s="7"/>
      <c r="K6719" s="7"/>
      <c r="L6719" s="7"/>
      <c r="M6719" s="7"/>
      <c r="N6719" s="7"/>
      <c r="O6719" s="7"/>
      <c r="P6719" s="7"/>
      <c r="Q6719" s="7"/>
      <c r="R6719" s="7"/>
      <c r="S6719" s="7"/>
      <c r="T6719" s="7"/>
      <c r="U6719" s="7"/>
      <c r="V6719" s="7"/>
      <c r="W6719" s="7"/>
      <c r="X6719" s="7"/>
      <c r="Y6719" s="7"/>
      <c r="Z6719" s="7"/>
    </row>
    <row r="6720">
      <c r="A6720" s="7"/>
      <c r="B6720" s="7"/>
      <c r="C6720" s="7"/>
      <c r="D6720" s="7"/>
      <c r="E6720" s="7"/>
      <c r="F6720" s="7"/>
      <c r="G6720" s="7"/>
      <c r="H6720" s="7"/>
      <c r="I6720" s="7"/>
      <c r="J6720" s="7"/>
      <c r="K6720" s="7"/>
      <c r="L6720" s="7"/>
      <c r="M6720" s="7"/>
      <c r="N6720" s="7"/>
      <c r="O6720" s="7"/>
      <c r="P6720" s="7"/>
      <c r="Q6720" s="7"/>
      <c r="R6720" s="7"/>
      <c r="S6720" s="7"/>
      <c r="T6720" s="7"/>
      <c r="U6720" s="7"/>
      <c r="V6720" s="7"/>
      <c r="W6720" s="7"/>
      <c r="X6720" s="7"/>
      <c r="Y6720" s="7"/>
      <c r="Z6720" s="7"/>
    </row>
    <row r="6721">
      <c r="A6721" s="7"/>
      <c r="B6721" s="7"/>
      <c r="C6721" s="7"/>
      <c r="D6721" s="7"/>
      <c r="E6721" s="7"/>
      <c r="F6721" s="7"/>
      <c r="G6721" s="7"/>
      <c r="H6721" s="7"/>
      <c r="I6721" s="7"/>
      <c r="J6721" s="7"/>
      <c r="K6721" s="7"/>
      <c r="L6721" s="7"/>
      <c r="M6721" s="7"/>
      <c r="N6721" s="7"/>
      <c r="O6721" s="7"/>
      <c r="P6721" s="7"/>
      <c r="Q6721" s="7"/>
      <c r="R6721" s="7"/>
      <c r="S6721" s="7"/>
      <c r="T6721" s="7"/>
      <c r="U6721" s="7"/>
      <c r="V6721" s="7"/>
      <c r="W6721" s="7"/>
      <c r="X6721" s="7"/>
      <c r="Y6721" s="7"/>
      <c r="Z6721" s="7"/>
    </row>
    <row r="6722">
      <c r="A6722" s="7"/>
      <c r="B6722" s="7"/>
      <c r="C6722" s="7"/>
      <c r="D6722" s="7"/>
      <c r="E6722" s="7"/>
      <c r="F6722" s="7"/>
      <c r="G6722" s="7"/>
      <c r="H6722" s="7"/>
      <c r="I6722" s="7"/>
      <c r="J6722" s="7"/>
      <c r="K6722" s="7"/>
      <c r="L6722" s="7"/>
      <c r="M6722" s="7"/>
      <c r="N6722" s="7"/>
      <c r="O6722" s="7"/>
      <c r="P6722" s="7"/>
      <c r="Q6722" s="7"/>
      <c r="R6722" s="7"/>
      <c r="S6722" s="7"/>
      <c r="T6722" s="7"/>
      <c r="U6722" s="7"/>
      <c r="V6722" s="7"/>
      <c r="W6722" s="7"/>
      <c r="X6722" s="7"/>
      <c r="Y6722" s="7"/>
      <c r="Z6722" s="7"/>
    </row>
    <row r="6723">
      <c r="A6723" s="7"/>
      <c r="B6723" s="7"/>
      <c r="C6723" s="7"/>
      <c r="D6723" s="7"/>
      <c r="E6723" s="7"/>
      <c r="F6723" s="7"/>
      <c r="G6723" s="7"/>
      <c r="H6723" s="7"/>
      <c r="I6723" s="7"/>
      <c r="J6723" s="7"/>
      <c r="K6723" s="7"/>
      <c r="L6723" s="7"/>
      <c r="M6723" s="7"/>
      <c r="N6723" s="7"/>
      <c r="O6723" s="7"/>
      <c r="P6723" s="7"/>
      <c r="Q6723" s="7"/>
      <c r="R6723" s="7"/>
      <c r="S6723" s="7"/>
      <c r="T6723" s="7"/>
      <c r="U6723" s="7"/>
      <c r="V6723" s="7"/>
      <c r="W6723" s="7"/>
      <c r="X6723" s="7"/>
      <c r="Y6723" s="7"/>
      <c r="Z6723" s="7"/>
    </row>
    <row r="6724">
      <c r="A6724" s="7"/>
      <c r="B6724" s="7"/>
      <c r="C6724" s="7"/>
      <c r="D6724" s="7"/>
      <c r="E6724" s="7"/>
      <c r="F6724" s="7"/>
      <c r="G6724" s="7"/>
      <c r="H6724" s="7"/>
      <c r="I6724" s="7"/>
      <c r="J6724" s="7"/>
      <c r="K6724" s="7"/>
      <c r="L6724" s="7"/>
      <c r="M6724" s="7"/>
      <c r="N6724" s="7"/>
      <c r="O6724" s="7"/>
      <c r="P6724" s="7"/>
      <c r="Q6724" s="7"/>
      <c r="R6724" s="7"/>
      <c r="S6724" s="7"/>
      <c r="T6724" s="7"/>
      <c r="U6724" s="7"/>
      <c r="V6724" s="7"/>
      <c r="W6724" s="7"/>
      <c r="X6724" s="7"/>
      <c r="Y6724" s="7"/>
      <c r="Z6724" s="7"/>
    </row>
    <row r="6725">
      <c r="A6725" s="7"/>
      <c r="B6725" s="7"/>
      <c r="C6725" s="7"/>
      <c r="D6725" s="7"/>
      <c r="E6725" s="7"/>
      <c r="F6725" s="7"/>
      <c r="G6725" s="7"/>
      <c r="H6725" s="7"/>
      <c r="I6725" s="7"/>
      <c r="J6725" s="7"/>
      <c r="K6725" s="7"/>
      <c r="L6725" s="7"/>
      <c r="M6725" s="7"/>
      <c r="N6725" s="7"/>
      <c r="O6725" s="7"/>
      <c r="P6725" s="7"/>
      <c r="Q6725" s="7"/>
      <c r="R6725" s="7"/>
      <c r="S6725" s="7"/>
      <c r="T6725" s="7"/>
      <c r="U6725" s="7"/>
      <c r="V6725" s="7"/>
      <c r="W6725" s="7"/>
      <c r="X6725" s="7"/>
      <c r="Y6725" s="7"/>
      <c r="Z6725" s="7"/>
    </row>
    <row r="6726">
      <c r="A6726" s="7"/>
      <c r="B6726" s="7"/>
      <c r="C6726" s="7"/>
      <c r="D6726" s="7"/>
      <c r="E6726" s="7"/>
      <c r="F6726" s="7"/>
      <c r="G6726" s="7"/>
      <c r="H6726" s="7"/>
      <c r="I6726" s="7"/>
      <c r="J6726" s="7"/>
      <c r="K6726" s="7"/>
      <c r="L6726" s="7"/>
      <c r="M6726" s="7"/>
      <c r="N6726" s="7"/>
      <c r="O6726" s="7"/>
      <c r="P6726" s="7"/>
      <c r="Q6726" s="7"/>
      <c r="R6726" s="7"/>
      <c r="S6726" s="7"/>
      <c r="T6726" s="7"/>
      <c r="U6726" s="7"/>
      <c r="V6726" s="7"/>
      <c r="W6726" s="7"/>
      <c r="X6726" s="7"/>
      <c r="Y6726" s="7"/>
      <c r="Z6726" s="7"/>
    </row>
    <row r="6727">
      <c r="A6727" s="7"/>
      <c r="B6727" s="7"/>
      <c r="C6727" s="7"/>
      <c r="D6727" s="7"/>
      <c r="E6727" s="7"/>
      <c r="F6727" s="7"/>
      <c r="G6727" s="7"/>
      <c r="H6727" s="7"/>
      <c r="I6727" s="7"/>
      <c r="J6727" s="7"/>
      <c r="K6727" s="7"/>
      <c r="L6727" s="7"/>
      <c r="M6727" s="7"/>
      <c r="N6727" s="7"/>
      <c r="O6727" s="7"/>
      <c r="P6727" s="7"/>
      <c r="Q6727" s="7"/>
      <c r="R6727" s="7"/>
      <c r="S6727" s="7"/>
      <c r="T6727" s="7"/>
      <c r="U6727" s="7"/>
      <c r="V6727" s="7"/>
      <c r="W6727" s="7"/>
      <c r="X6727" s="7"/>
      <c r="Y6727" s="7"/>
      <c r="Z6727" s="7"/>
    </row>
    <row r="6728">
      <c r="A6728" s="7"/>
      <c r="B6728" s="7"/>
      <c r="C6728" s="7"/>
      <c r="D6728" s="7"/>
      <c r="E6728" s="7"/>
      <c r="F6728" s="7"/>
      <c r="G6728" s="7"/>
      <c r="H6728" s="7"/>
      <c r="I6728" s="7"/>
      <c r="J6728" s="7"/>
      <c r="K6728" s="7"/>
      <c r="L6728" s="7"/>
      <c r="M6728" s="7"/>
      <c r="N6728" s="7"/>
      <c r="O6728" s="7"/>
      <c r="P6728" s="7"/>
      <c r="Q6728" s="7"/>
      <c r="R6728" s="7"/>
      <c r="S6728" s="7"/>
      <c r="T6728" s="7"/>
      <c r="U6728" s="7"/>
      <c r="V6728" s="7"/>
      <c r="W6728" s="7"/>
      <c r="X6728" s="7"/>
      <c r="Y6728" s="7"/>
      <c r="Z6728" s="7"/>
    </row>
    <row r="6729">
      <c r="A6729" s="7"/>
      <c r="B6729" s="7"/>
      <c r="C6729" s="7"/>
      <c r="D6729" s="7"/>
      <c r="E6729" s="7"/>
      <c r="F6729" s="7"/>
      <c r="G6729" s="7"/>
      <c r="H6729" s="7"/>
      <c r="I6729" s="7"/>
      <c r="J6729" s="7"/>
      <c r="K6729" s="7"/>
      <c r="L6729" s="7"/>
      <c r="M6729" s="7"/>
      <c r="N6729" s="7"/>
      <c r="O6729" s="7"/>
      <c r="P6729" s="7"/>
      <c r="Q6729" s="7"/>
      <c r="R6729" s="7"/>
      <c r="S6729" s="7"/>
      <c r="T6729" s="7"/>
      <c r="U6729" s="7"/>
      <c r="V6729" s="7"/>
      <c r="W6729" s="7"/>
      <c r="X6729" s="7"/>
      <c r="Y6729" s="7"/>
      <c r="Z6729" s="7"/>
    </row>
    <row r="6730">
      <c r="A6730" s="7"/>
      <c r="B6730" s="7"/>
      <c r="C6730" s="7"/>
      <c r="D6730" s="7"/>
      <c r="E6730" s="7"/>
      <c r="F6730" s="7"/>
      <c r="G6730" s="7"/>
      <c r="H6730" s="7"/>
      <c r="I6730" s="7"/>
      <c r="J6730" s="7"/>
      <c r="K6730" s="7"/>
      <c r="L6730" s="7"/>
      <c r="M6730" s="7"/>
      <c r="N6730" s="7"/>
      <c r="O6730" s="7"/>
      <c r="P6730" s="7"/>
      <c r="Q6730" s="7"/>
      <c r="R6730" s="7"/>
      <c r="S6730" s="7"/>
      <c r="T6730" s="7"/>
      <c r="U6730" s="7"/>
      <c r="V6730" s="7"/>
      <c r="W6730" s="7"/>
      <c r="X6730" s="7"/>
      <c r="Y6730" s="7"/>
      <c r="Z6730" s="7"/>
    </row>
    <row r="6731">
      <c r="A6731" s="7"/>
      <c r="B6731" s="7"/>
      <c r="C6731" s="7"/>
      <c r="D6731" s="7"/>
      <c r="E6731" s="7"/>
      <c r="F6731" s="7"/>
      <c r="G6731" s="7"/>
      <c r="H6731" s="7"/>
      <c r="I6731" s="7"/>
      <c r="J6731" s="7"/>
      <c r="K6731" s="7"/>
      <c r="L6731" s="7"/>
      <c r="M6731" s="7"/>
      <c r="N6731" s="7"/>
      <c r="O6731" s="7"/>
      <c r="P6731" s="7"/>
      <c r="Q6731" s="7"/>
      <c r="R6731" s="7"/>
      <c r="S6731" s="7"/>
      <c r="T6731" s="7"/>
      <c r="U6731" s="7"/>
      <c r="V6731" s="7"/>
      <c r="W6731" s="7"/>
      <c r="X6731" s="7"/>
      <c r="Y6731" s="7"/>
      <c r="Z6731" s="7"/>
    </row>
    <row r="6732">
      <c r="A6732" s="7"/>
      <c r="B6732" s="7"/>
      <c r="C6732" s="7"/>
      <c r="D6732" s="7"/>
      <c r="E6732" s="7"/>
      <c r="F6732" s="7"/>
      <c r="G6732" s="7"/>
      <c r="H6732" s="7"/>
      <c r="I6732" s="7"/>
      <c r="J6732" s="7"/>
      <c r="K6732" s="7"/>
      <c r="L6732" s="7"/>
      <c r="M6732" s="7"/>
      <c r="N6732" s="7"/>
      <c r="O6732" s="7"/>
      <c r="P6732" s="7"/>
      <c r="Q6732" s="7"/>
      <c r="R6732" s="7"/>
      <c r="S6732" s="7"/>
      <c r="T6732" s="7"/>
      <c r="U6732" s="7"/>
      <c r="V6732" s="7"/>
      <c r="W6732" s="7"/>
      <c r="X6732" s="7"/>
      <c r="Y6732" s="7"/>
      <c r="Z6732" s="7"/>
    </row>
    <row r="6733">
      <c r="A6733" s="7"/>
      <c r="B6733" s="7"/>
      <c r="C6733" s="7"/>
      <c r="D6733" s="7"/>
      <c r="E6733" s="7"/>
      <c r="F6733" s="7"/>
      <c r="G6733" s="7"/>
      <c r="H6733" s="7"/>
      <c r="I6733" s="7"/>
      <c r="J6733" s="7"/>
      <c r="K6733" s="7"/>
      <c r="L6733" s="7"/>
      <c r="M6733" s="7"/>
      <c r="N6733" s="7"/>
      <c r="O6733" s="7"/>
      <c r="P6733" s="7"/>
      <c r="Q6733" s="7"/>
      <c r="R6733" s="7"/>
      <c r="S6733" s="7"/>
      <c r="T6733" s="7"/>
      <c r="U6733" s="7"/>
      <c r="V6733" s="7"/>
      <c r="W6733" s="7"/>
      <c r="X6733" s="7"/>
      <c r="Y6733" s="7"/>
      <c r="Z6733" s="7"/>
    </row>
    <row r="6734">
      <c r="A6734" s="7"/>
      <c r="B6734" s="7"/>
      <c r="C6734" s="7"/>
      <c r="D6734" s="7"/>
      <c r="E6734" s="7"/>
      <c r="F6734" s="7"/>
      <c r="G6734" s="7"/>
      <c r="H6734" s="7"/>
      <c r="I6734" s="7"/>
      <c r="J6734" s="7"/>
      <c r="K6734" s="7"/>
      <c r="L6734" s="7"/>
      <c r="M6734" s="7"/>
      <c r="N6734" s="7"/>
      <c r="O6734" s="7"/>
      <c r="P6734" s="7"/>
      <c r="Q6734" s="7"/>
      <c r="R6734" s="7"/>
      <c r="S6734" s="7"/>
      <c r="T6734" s="7"/>
      <c r="U6734" s="7"/>
      <c r="V6734" s="7"/>
      <c r="W6734" s="7"/>
      <c r="X6734" s="7"/>
      <c r="Y6734" s="7"/>
      <c r="Z6734" s="7"/>
    </row>
    <row r="6735">
      <c r="A6735" s="7"/>
      <c r="B6735" s="7"/>
      <c r="C6735" s="7"/>
      <c r="D6735" s="7"/>
      <c r="E6735" s="7"/>
      <c r="F6735" s="7"/>
      <c r="G6735" s="7"/>
      <c r="H6735" s="7"/>
      <c r="I6735" s="7"/>
      <c r="J6735" s="7"/>
      <c r="K6735" s="7"/>
      <c r="L6735" s="7"/>
      <c r="M6735" s="7"/>
      <c r="N6735" s="7"/>
      <c r="O6735" s="7"/>
      <c r="P6735" s="7"/>
      <c r="Q6735" s="7"/>
      <c r="R6735" s="7"/>
      <c r="S6735" s="7"/>
      <c r="T6735" s="7"/>
      <c r="U6735" s="7"/>
      <c r="V6735" s="7"/>
      <c r="W6735" s="7"/>
      <c r="X6735" s="7"/>
      <c r="Y6735" s="7"/>
      <c r="Z6735" s="7"/>
    </row>
    <row r="6736">
      <c r="A6736" s="7"/>
      <c r="B6736" s="7"/>
      <c r="C6736" s="7"/>
      <c r="D6736" s="7"/>
      <c r="E6736" s="7"/>
      <c r="F6736" s="7"/>
      <c r="G6736" s="7"/>
      <c r="H6736" s="7"/>
      <c r="I6736" s="7"/>
      <c r="J6736" s="7"/>
      <c r="K6736" s="7"/>
      <c r="L6736" s="7"/>
      <c r="M6736" s="7"/>
      <c r="N6736" s="7"/>
      <c r="O6736" s="7"/>
      <c r="P6736" s="7"/>
      <c r="Q6736" s="7"/>
      <c r="R6736" s="7"/>
      <c r="S6736" s="7"/>
      <c r="T6736" s="7"/>
      <c r="U6736" s="7"/>
      <c r="V6736" s="7"/>
      <c r="W6736" s="7"/>
      <c r="X6736" s="7"/>
      <c r="Y6736" s="7"/>
      <c r="Z6736" s="7"/>
    </row>
    <row r="6737">
      <c r="A6737" s="7"/>
      <c r="B6737" s="7"/>
      <c r="C6737" s="7"/>
      <c r="D6737" s="7"/>
      <c r="E6737" s="7"/>
      <c r="F6737" s="7"/>
      <c r="G6737" s="7"/>
      <c r="H6737" s="7"/>
      <c r="I6737" s="7"/>
      <c r="J6737" s="7"/>
      <c r="K6737" s="7"/>
      <c r="L6737" s="7"/>
      <c r="M6737" s="7"/>
      <c r="N6737" s="7"/>
      <c r="O6737" s="7"/>
      <c r="P6737" s="7"/>
      <c r="Q6737" s="7"/>
      <c r="R6737" s="7"/>
      <c r="S6737" s="7"/>
      <c r="T6737" s="7"/>
      <c r="U6737" s="7"/>
      <c r="V6737" s="7"/>
      <c r="W6737" s="7"/>
      <c r="X6737" s="7"/>
      <c r="Y6737" s="7"/>
      <c r="Z6737" s="7"/>
    </row>
    <row r="6738">
      <c r="A6738" s="7"/>
      <c r="B6738" s="7"/>
      <c r="C6738" s="7"/>
      <c r="D6738" s="7"/>
      <c r="E6738" s="7"/>
      <c r="F6738" s="7"/>
      <c r="G6738" s="7"/>
      <c r="H6738" s="7"/>
      <c r="I6738" s="7"/>
      <c r="J6738" s="7"/>
      <c r="K6738" s="7"/>
      <c r="L6738" s="7"/>
      <c r="M6738" s="7"/>
      <c r="N6738" s="7"/>
      <c r="O6738" s="7"/>
      <c r="P6738" s="7"/>
      <c r="Q6738" s="7"/>
      <c r="R6738" s="7"/>
      <c r="S6738" s="7"/>
      <c r="T6738" s="7"/>
      <c r="U6738" s="7"/>
      <c r="V6738" s="7"/>
      <c r="W6738" s="7"/>
      <c r="X6738" s="7"/>
      <c r="Y6738" s="7"/>
      <c r="Z6738" s="7"/>
    </row>
    <row r="6739">
      <c r="A6739" s="7"/>
      <c r="B6739" s="7"/>
      <c r="C6739" s="7"/>
      <c r="D6739" s="7"/>
      <c r="E6739" s="7"/>
      <c r="F6739" s="7"/>
      <c r="G6739" s="7"/>
      <c r="H6739" s="7"/>
      <c r="I6739" s="7"/>
      <c r="J6739" s="7"/>
      <c r="K6739" s="7"/>
      <c r="L6739" s="7"/>
      <c r="M6739" s="7"/>
      <c r="N6739" s="7"/>
      <c r="O6739" s="7"/>
      <c r="P6739" s="7"/>
      <c r="Q6739" s="7"/>
      <c r="R6739" s="7"/>
      <c r="S6739" s="7"/>
      <c r="T6739" s="7"/>
      <c r="U6739" s="7"/>
      <c r="V6739" s="7"/>
      <c r="W6739" s="7"/>
      <c r="X6739" s="7"/>
      <c r="Y6739" s="7"/>
      <c r="Z6739" s="7"/>
    </row>
    <row r="6740">
      <c r="A6740" s="7"/>
      <c r="B6740" s="7"/>
      <c r="C6740" s="7"/>
      <c r="D6740" s="7"/>
      <c r="E6740" s="7"/>
      <c r="F6740" s="7"/>
      <c r="G6740" s="7"/>
      <c r="H6740" s="7"/>
      <c r="I6740" s="7"/>
      <c r="J6740" s="7"/>
      <c r="K6740" s="7"/>
      <c r="L6740" s="7"/>
      <c r="M6740" s="7"/>
      <c r="N6740" s="7"/>
      <c r="O6740" s="7"/>
      <c r="P6740" s="7"/>
      <c r="Q6740" s="7"/>
      <c r="R6740" s="7"/>
      <c r="S6740" s="7"/>
      <c r="T6740" s="7"/>
      <c r="U6740" s="7"/>
      <c r="V6740" s="7"/>
      <c r="W6740" s="7"/>
      <c r="X6740" s="7"/>
      <c r="Y6740" s="7"/>
      <c r="Z6740" s="7"/>
    </row>
    <row r="6741">
      <c r="A6741" s="7"/>
      <c r="B6741" s="7"/>
      <c r="C6741" s="7"/>
      <c r="D6741" s="7"/>
      <c r="E6741" s="7"/>
      <c r="F6741" s="7"/>
      <c r="G6741" s="7"/>
      <c r="H6741" s="7"/>
      <c r="I6741" s="7"/>
      <c r="J6741" s="7"/>
      <c r="K6741" s="7"/>
      <c r="L6741" s="7"/>
      <c r="M6741" s="7"/>
      <c r="N6741" s="7"/>
      <c r="O6741" s="7"/>
      <c r="P6741" s="7"/>
      <c r="Q6741" s="7"/>
      <c r="R6741" s="7"/>
      <c r="S6741" s="7"/>
      <c r="T6741" s="7"/>
      <c r="U6741" s="7"/>
      <c r="V6741" s="7"/>
      <c r="W6741" s="7"/>
      <c r="X6741" s="7"/>
      <c r="Y6741" s="7"/>
      <c r="Z6741" s="7"/>
    </row>
    <row r="6742">
      <c r="A6742" s="7"/>
      <c r="B6742" s="7"/>
      <c r="C6742" s="7"/>
      <c r="D6742" s="7"/>
      <c r="E6742" s="7"/>
      <c r="F6742" s="7"/>
      <c r="G6742" s="7"/>
      <c r="H6742" s="7"/>
      <c r="I6742" s="7"/>
      <c r="J6742" s="7"/>
      <c r="K6742" s="7"/>
      <c r="L6742" s="7"/>
      <c r="M6742" s="7"/>
      <c r="N6742" s="7"/>
      <c r="O6742" s="7"/>
      <c r="P6742" s="7"/>
      <c r="Q6742" s="7"/>
      <c r="R6742" s="7"/>
      <c r="S6742" s="7"/>
      <c r="T6742" s="7"/>
      <c r="U6742" s="7"/>
      <c r="V6742" s="7"/>
      <c r="W6742" s="7"/>
      <c r="X6742" s="7"/>
      <c r="Y6742" s="7"/>
      <c r="Z6742" s="7"/>
    </row>
    <row r="6743">
      <c r="A6743" s="7"/>
      <c r="B6743" s="7"/>
      <c r="C6743" s="7"/>
      <c r="D6743" s="7"/>
      <c r="E6743" s="7"/>
      <c r="F6743" s="7"/>
      <c r="G6743" s="7"/>
      <c r="H6743" s="7"/>
      <c r="I6743" s="7"/>
      <c r="J6743" s="7"/>
      <c r="K6743" s="7"/>
      <c r="L6743" s="7"/>
      <c r="M6743" s="7"/>
      <c r="N6743" s="7"/>
      <c r="O6743" s="7"/>
      <c r="P6743" s="7"/>
      <c r="Q6743" s="7"/>
      <c r="R6743" s="7"/>
      <c r="S6743" s="7"/>
      <c r="T6743" s="7"/>
      <c r="U6743" s="7"/>
      <c r="V6743" s="7"/>
      <c r="W6743" s="7"/>
      <c r="X6743" s="7"/>
      <c r="Y6743" s="7"/>
      <c r="Z6743" s="7"/>
    </row>
    <row r="6744">
      <c r="A6744" s="7"/>
      <c r="B6744" s="7"/>
      <c r="C6744" s="7"/>
      <c r="D6744" s="7"/>
      <c r="E6744" s="7"/>
      <c r="F6744" s="7"/>
      <c r="G6744" s="7"/>
      <c r="H6744" s="7"/>
      <c r="I6744" s="7"/>
      <c r="J6744" s="7"/>
      <c r="K6744" s="7"/>
      <c r="L6744" s="7"/>
      <c r="M6744" s="7"/>
      <c r="N6744" s="7"/>
      <c r="O6744" s="7"/>
      <c r="P6744" s="7"/>
      <c r="Q6744" s="7"/>
      <c r="R6744" s="7"/>
      <c r="S6744" s="7"/>
      <c r="T6744" s="7"/>
      <c r="U6744" s="7"/>
      <c r="V6744" s="7"/>
      <c r="W6744" s="7"/>
      <c r="X6744" s="7"/>
      <c r="Y6744" s="7"/>
      <c r="Z6744" s="7"/>
    </row>
    <row r="6745">
      <c r="A6745" s="7"/>
      <c r="B6745" s="7"/>
      <c r="C6745" s="7"/>
      <c r="D6745" s="7"/>
      <c r="E6745" s="7"/>
      <c r="F6745" s="7"/>
      <c r="G6745" s="7"/>
      <c r="H6745" s="7"/>
      <c r="I6745" s="7"/>
      <c r="J6745" s="7"/>
      <c r="K6745" s="7"/>
      <c r="L6745" s="7"/>
      <c r="M6745" s="7"/>
      <c r="N6745" s="7"/>
      <c r="O6745" s="7"/>
      <c r="P6745" s="7"/>
      <c r="Q6745" s="7"/>
      <c r="R6745" s="7"/>
      <c r="S6745" s="7"/>
      <c r="T6745" s="7"/>
      <c r="U6745" s="7"/>
      <c r="V6745" s="7"/>
      <c r="W6745" s="7"/>
      <c r="X6745" s="7"/>
      <c r="Y6745" s="7"/>
      <c r="Z6745" s="7"/>
    </row>
    <row r="6746">
      <c r="A6746" s="7"/>
      <c r="B6746" s="7"/>
      <c r="C6746" s="7"/>
      <c r="D6746" s="7"/>
      <c r="E6746" s="7"/>
      <c r="F6746" s="7"/>
      <c r="G6746" s="7"/>
      <c r="H6746" s="7"/>
      <c r="I6746" s="7"/>
      <c r="J6746" s="7"/>
      <c r="K6746" s="7"/>
      <c r="L6746" s="7"/>
      <c r="M6746" s="7"/>
      <c r="N6746" s="7"/>
      <c r="O6746" s="7"/>
      <c r="P6746" s="7"/>
      <c r="Q6746" s="7"/>
      <c r="R6746" s="7"/>
      <c r="S6746" s="7"/>
      <c r="T6746" s="7"/>
      <c r="U6746" s="7"/>
      <c r="V6746" s="7"/>
      <c r="W6746" s="7"/>
      <c r="X6746" s="7"/>
      <c r="Y6746" s="7"/>
      <c r="Z6746" s="7"/>
    </row>
    <row r="6747">
      <c r="A6747" s="7"/>
      <c r="B6747" s="7"/>
      <c r="C6747" s="7"/>
      <c r="D6747" s="7"/>
      <c r="E6747" s="7"/>
      <c r="F6747" s="7"/>
      <c r="G6747" s="7"/>
      <c r="H6747" s="7"/>
      <c r="I6747" s="7"/>
      <c r="J6747" s="7"/>
      <c r="K6747" s="7"/>
      <c r="L6747" s="7"/>
      <c r="M6747" s="7"/>
      <c r="N6747" s="7"/>
      <c r="O6747" s="7"/>
      <c r="P6747" s="7"/>
      <c r="Q6747" s="7"/>
      <c r="R6747" s="7"/>
      <c r="S6747" s="7"/>
      <c r="T6747" s="7"/>
      <c r="U6747" s="7"/>
      <c r="V6747" s="7"/>
      <c r="W6747" s="7"/>
      <c r="X6747" s="7"/>
      <c r="Y6747" s="7"/>
      <c r="Z6747" s="7"/>
    </row>
    <row r="6748">
      <c r="A6748" s="7"/>
      <c r="B6748" s="7"/>
      <c r="C6748" s="7"/>
      <c r="D6748" s="7"/>
      <c r="E6748" s="7"/>
      <c r="F6748" s="7"/>
      <c r="G6748" s="7"/>
      <c r="H6748" s="7"/>
      <c r="I6748" s="7"/>
      <c r="J6748" s="7"/>
      <c r="K6748" s="7"/>
      <c r="L6748" s="7"/>
      <c r="M6748" s="7"/>
      <c r="N6748" s="7"/>
      <c r="O6748" s="7"/>
      <c r="P6748" s="7"/>
      <c r="Q6748" s="7"/>
      <c r="R6748" s="7"/>
      <c r="S6748" s="7"/>
      <c r="T6748" s="7"/>
      <c r="U6748" s="7"/>
      <c r="V6748" s="7"/>
      <c r="W6748" s="7"/>
      <c r="X6748" s="7"/>
      <c r="Y6748" s="7"/>
      <c r="Z6748" s="7"/>
    </row>
    <row r="6749">
      <c r="A6749" s="7"/>
      <c r="B6749" s="7"/>
      <c r="C6749" s="7"/>
      <c r="D6749" s="7"/>
      <c r="E6749" s="7"/>
      <c r="F6749" s="7"/>
      <c r="G6749" s="7"/>
      <c r="H6749" s="7"/>
      <c r="I6749" s="7"/>
      <c r="J6749" s="7"/>
      <c r="K6749" s="7"/>
      <c r="L6749" s="7"/>
      <c r="M6749" s="7"/>
      <c r="N6749" s="7"/>
      <c r="O6749" s="7"/>
      <c r="P6749" s="7"/>
      <c r="Q6749" s="7"/>
      <c r="R6749" s="7"/>
      <c r="S6749" s="7"/>
      <c r="T6749" s="7"/>
      <c r="U6749" s="7"/>
      <c r="V6749" s="7"/>
      <c r="W6749" s="7"/>
      <c r="X6749" s="7"/>
      <c r="Y6749" s="7"/>
      <c r="Z6749" s="7"/>
    </row>
    <row r="6750">
      <c r="A6750" s="7"/>
      <c r="B6750" s="7"/>
      <c r="C6750" s="7"/>
      <c r="D6750" s="7"/>
      <c r="E6750" s="7"/>
      <c r="F6750" s="7"/>
      <c r="G6750" s="7"/>
      <c r="H6750" s="7"/>
      <c r="I6750" s="7"/>
      <c r="J6750" s="7"/>
      <c r="K6750" s="7"/>
      <c r="L6750" s="7"/>
      <c r="M6750" s="7"/>
      <c r="N6750" s="7"/>
      <c r="O6750" s="7"/>
      <c r="P6750" s="7"/>
      <c r="Q6750" s="7"/>
      <c r="R6750" s="7"/>
      <c r="S6750" s="7"/>
      <c r="T6750" s="7"/>
      <c r="U6750" s="7"/>
      <c r="V6750" s="7"/>
      <c r="W6750" s="7"/>
      <c r="X6750" s="7"/>
      <c r="Y6750" s="7"/>
      <c r="Z6750" s="7"/>
    </row>
    <row r="6751">
      <c r="A6751" s="7"/>
      <c r="B6751" s="7"/>
      <c r="C6751" s="7"/>
      <c r="D6751" s="7"/>
      <c r="E6751" s="7"/>
      <c r="F6751" s="7"/>
      <c r="G6751" s="7"/>
      <c r="H6751" s="7"/>
      <c r="I6751" s="7"/>
      <c r="J6751" s="7"/>
      <c r="K6751" s="7"/>
      <c r="L6751" s="7"/>
      <c r="M6751" s="7"/>
      <c r="N6751" s="7"/>
      <c r="O6751" s="7"/>
      <c r="P6751" s="7"/>
      <c r="Q6751" s="7"/>
      <c r="R6751" s="7"/>
      <c r="S6751" s="7"/>
      <c r="T6751" s="7"/>
      <c r="U6751" s="7"/>
      <c r="V6751" s="7"/>
      <c r="W6751" s="7"/>
      <c r="X6751" s="7"/>
      <c r="Y6751" s="7"/>
      <c r="Z6751" s="7"/>
    </row>
    <row r="6752">
      <c r="A6752" s="7"/>
      <c r="B6752" s="7"/>
      <c r="C6752" s="7"/>
      <c r="D6752" s="7"/>
      <c r="E6752" s="7"/>
      <c r="F6752" s="7"/>
      <c r="G6752" s="7"/>
      <c r="H6752" s="7"/>
      <c r="I6752" s="7"/>
      <c r="J6752" s="7"/>
      <c r="K6752" s="7"/>
      <c r="L6752" s="7"/>
      <c r="M6752" s="7"/>
      <c r="N6752" s="7"/>
      <c r="O6752" s="7"/>
      <c r="P6752" s="7"/>
      <c r="Q6752" s="7"/>
      <c r="R6752" s="7"/>
      <c r="S6752" s="7"/>
      <c r="T6752" s="7"/>
      <c r="U6752" s="7"/>
      <c r="V6752" s="7"/>
      <c r="W6752" s="7"/>
      <c r="X6752" s="7"/>
      <c r="Y6752" s="7"/>
      <c r="Z6752" s="7"/>
    </row>
    <row r="6753">
      <c r="A6753" s="7"/>
      <c r="B6753" s="7"/>
      <c r="C6753" s="7"/>
      <c r="D6753" s="7"/>
      <c r="E6753" s="7"/>
      <c r="F6753" s="7"/>
      <c r="G6753" s="7"/>
      <c r="H6753" s="7"/>
      <c r="I6753" s="7"/>
      <c r="J6753" s="7"/>
      <c r="K6753" s="7"/>
      <c r="L6753" s="7"/>
      <c r="M6753" s="7"/>
      <c r="N6753" s="7"/>
      <c r="O6753" s="7"/>
      <c r="P6753" s="7"/>
      <c r="Q6753" s="7"/>
      <c r="R6753" s="7"/>
      <c r="S6753" s="7"/>
      <c r="T6753" s="7"/>
      <c r="U6753" s="7"/>
      <c r="V6753" s="7"/>
      <c r="W6753" s="7"/>
      <c r="X6753" s="7"/>
      <c r="Y6753" s="7"/>
      <c r="Z6753" s="7"/>
    </row>
    <row r="6754">
      <c r="A6754" s="7"/>
      <c r="B6754" s="7"/>
      <c r="C6754" s="7"/>
      <c r="D6754" s="7"/>
      <c r="E6754" s="7"/>
      <c r="F6754" s="7"/>
      <c r="G6754" s="7"/>
      <c r="H6754" s="7"/>
      <c r="I6754" s="7"/>
      <c r="J6754" s="7"/>
      <c r="K6754" s="7"/>
      <c r="L6754" s="7"/>
      <c r="M6754" s="7"/>
      <c r="N6754" s="7"/>
      <c r="O6754" s="7"/>
      <c r="P6754" s="7"/>
      <c r="Q6754" s="7"/>
      <c r="R6754" s="7"/>
      <c r="S6754" s="7"/>
      <c r="T6754" s="7"/>
      <c r="U6754" s="7"/>
      <c r="V6754" s="7"/>
      <c r="W6754" s="7"/>
      <c r="X6754" s="7"/>
      <c r="Y6754" s="7"/>
      <c r="Z6754" s="7"/>
    </row>
    <row r="6755">
      <c r="A6755" s="7"/>
      <c r="B6755" s="7"/>
      <c r="C6755" s="7"/>
      <c r="D6755" s="7"/>
      <c r="E6755" s="7"/>
      <c r="F6755" s="7"/>
      <c r="G6755" s="7"/>
      <c r="H6755" s="7"/>
      <c r="I6755" s="7"/>
      <c r="J6755" s="7"/>
      <c r="K6755" s="7"/>
      <c r="L6755" s="7"/>
      <c r="M6755" s="7"/>
      <c r="N6755" s="7"/>
      <c r="O6755" s="7"/>
      <c r="P6755" s="7"/>
      <c r="Q6755" s="7"/>
      <c r="R6755" s="7"/>
      <c r="S6755" s="7"/>
      <c r="T6755" s="7"/>
      <c r="U6755" s="7"/>
      <c r="V6755" s="7"/>
      <c r="W6755" s="7"/>
      <c r="X6755" s="7"/>
      <c r="Y6755" s="7"/>
      <c r="Z6755" s="7"/>
    </row>
    <row r="6756">
      <c r="A6756" s="7"/>
      <c r="B6756" s="7"/>
      <c r="C6756" s="7"/>
      <c r="D6756" s="7"/>
      <c r="E6756" s="7"/>
      <c r="F6756" s="7"/>
      <c r="G6756" s="7"/>
      <c r="H6756" s="7"/>
      <c r="I6756" s="7"/>
      <c r="J6756" s="7"/>
      <c r="K6756" s="7"/>
      <c r="L6756" s="7"/>
      <c r="M6756" s="7"/>
      <c r="N6756" s="7"/>
      <c r="O6756" s="7"/>
      <c r="P6756" s="7"/>
      <c r="Q6756" s="7"/>
      <c r="R6756" s="7"/>
      <c r="S6756" s="7"/>
      <c r="T6756" s="7"/>
      <c r="U6756" s="7"/>
      <c r="V6756" s="7"/>
      <c r="W6756" s="7"/>
      <c r="X6756" s="7"/>
      <c r="Y6756" s="7"/>
      <c r="Z6756" s="7"/>
    </row>
    <row r="6757">
      <c r="A6757" s="7"/>
      <c r="B6757" s="7"/>
      <c r="C6757" s="7"/>
      <c r="D6757" s="7"/>
      <c r="E6757" s="7"/>
      <c r="F6757" s="7"/>
      <c r="G6757" s="7"/>
      <c r="H6757" s="7"/>
      <c r="I6757" s="7"/>
      <c r="J6757" s="7"/>
      <c r="K6757" s="7"/>
      <c r="L6757" s="7"/>
      <c r="M6757" s="7"/>
      <c r="N6757" s="7"/>
      <c r="O6757" s="7"/>
      <c r="P6757" s="7"/>
      <c r="Q6757" s="7"/>
      <c r="R6757" s="7"/>
      <c r="S6757" s="7"/>
      <c r="T6757" s="7"/>
      <c r="U6757" s="7"/>
      <c r="V6757" s="7"/>
      <c r="W6757" s="7"/>
      <c r="X6757" s="7"/>
      <c r="Y6757" s="7"/>
      <c r="Z6757" s="7"/>
    </row>
    <row r="6758">
      <c r="A6758" s="7"/>
      <c r="B6758" s="7"/>
      <c r="C6758" s="7"/>
      <c r="D6758" s="7"/>
      <c r="E6758" s="7"/>
      <c r="F6758" s="7"/>
      <c r="G6758" s="7"/>
      <c r="H6758" s="7"/>
      <c r="I6758" s="7"/>
      <c r="J6758" s="7"/>
      <c r="K6758" s="7"/>
      <c r="L6758" s="7"/>
      <c r="M6758" s="7"/>
      <c r="N6758" s="7"/>
      <c r="O6758" s="7"/>
      <c r="P6758" s="7"/>
      <c r="Q6758" s="7"/>
      <c r="R6758" s="7"/>
      <c r="S6758" s="7"/>
      <c r="T6758" s="7"/>
      <c r="U6758" s="7"/>
      <c r="V6758" s="7"/>
      <c r="W6758" s="7"/>
      <c r="X6758" s="7"/>
      <c r="Y6758" s="7"/>
      <c r="Z6758" s="7"/>
    </row>
    <row r="6759">
      <c r="A6759" s="7"/>
      <c r="B6759" s="7"/>
      <c r="C6759" s="7"/>
      <c r="D6759" s="7"/>
      <c r="E6759" s="7"/>
      <c r="F6759" s="7"/>
      <c r="G6759" s="7"/>
      <c r="H6759" s="7"/>
      <c r="I6759" s="7"/>
      <c r="J6759" s="7"/>
      <c r="K6759" s="7"/>
      <c r="L6759" s="7"/>
      <c r="M6759" s="7"/>
      <c r="N6759" s="7"/>
      <c r="O6759" s="7"/>
      <c r="P6759" s="7"/>
      <c r="Q6759" s="7"/>
      <c r="R6759" s="7"/>
      <c r="S6759" s="7"/>
      <c r="T6759" s="7"/>
      <c r="U6759" s="7"/>
      <c r="V6759" s="7"/>
      <c r="W6759" s="7"/>
      <c r="X6759" s="7"/>
      <c r="Y6759" s="7"/>
      <c r="Z6759" s="7"/>
    </row>
    <row r="6760">
      <c r="A6760" s="7"/>
      <c r="B6760" s="7"/>
      <c r="C6760" s="7"/>
      <c r="D6760" s="7"/>
      <c r="E6760" s="7"/>
      <c r="F6760" s="7"/>
      <c r="G6760" s="7"/>
      <c r="H6760" s="7"/>
      <c r="I6760" s="7"/>
      <c r="J6760" s="7"/>
      <c r="K6760" s="7"/>
      <c r="L6760" s="7"/>
      <c r="M6760" s="7"/>
      <c r="N6760" s="7"/>
      <c r="O6760" s="7"/>
      <c r="P6760" s="7"/>
      <c r="Q6760" s="7"/>
      <c r="R6760" s="7"/>
      <c r="S6760" s="7"/>
      <c r="T6760" s="7"/>
      <c r="U6760" s="7"/>
      <c r="V6760" s="7"/>
      <c r="W6760" s="7"/>
      <c r="X6760" s="7"/>
      <c r="Y6760" s="7"/>
      <c r="Z6760" s="7"/>
    </row>
    <row r="6761">
      <c r="A6761" s="7"/>
      <c r="B6761" s="7"/>
      <c r="C6761" s="7"/>
      <c r="D6761" s="7"/>
      <c r="E6761" s="7"/>
      <c r="F6761" s="7"/>
      <c r="G6761" s="7"/>
      <c r="H6761" s="7"/>
      <c r="I6761" s="7"/>
      <c r="J6761" s="7"/>
      <c r="K6761" s="7"/>
      <c r="L6761" s="7"/>
      <c r="M6761" s="7"/>
      <c r="N6761" s="7"/>
      <c r="O6761" s="7"/>
      <c r="P6761" s="7"/>
      <c r="Q6761" s="7"/>
      <c r="R6761" s="7"/>
      <c r="S6761" s="7"/>
      <c r="T6761" s="7"/>
      <c r="U6761" s="7"/>
      <c r="V6761" s="7"/>
      <c r="W6761" s="7"/>
      <c r="X6761" s="7"/>
      <c r="Y6761" s="7"/>
      <c r="Z6761" s="7"/>
    </row>
    <row r="6762">
      <c r="A6762" s="7"/>
      <c r="B6762" s="7"/>
      <c r="C6762" s="7"/>
      <c r="D6762" s="7"/>
      <c r="E6762" s="7"/>
      <c r="F6762" s="7"/>
      <c r="G6762" s="7"/>
      <c r="H6762" s="7"/>
      <c r="I6762" s="7"/>
      <c r="J6762" s="7"/>
      <c r="K6762" s="7"/>
      <c r="L6762" s="7"/>
      <c r="M6762" s="7"/>
      <c r="N6762" s="7"/>
      <c r="O6762" s="7"/>
      <c r="P6762" s="7"/>
      <c r="Q6762" s="7"/>
      <c r="R6762" s="7"/>
      <c r="S6762" s="7"/>
      <c r="T6762" s="7"/>
      <c r="U6762" s="7"/>
      <c r="V6762" s="7"/>
      <c r="W6762" s="7"/>
      <c r="X6762" s="7"/>
      <c r="Y6762" s="7"/>
      <c r="Z6762" s="7"/>
    </row>
    <row r="6763">
      <c r="A6763" s="7"/>
      <c r="B6763" s="7"/>
      <c r="C6763" s="7"/>
      <c r="D6763" s="7"/>
      <c r="E6763" s="7"/>
      <c r="F6763" s="7"/>
      <c r="G6763" s="7"/>
      <c r="H6763" s="7"/>
      <c r="I6763" s="7"/>
      <c r="J6763" s="7"/>
      <c r="K6763" s="7"/>
      <c r="L6763" s="7"/>
      <c r="M6763" s="7"/>
      <c r="N6763" s="7"/>
      <c r="O6763" s="7"/>
      <c r="P6763" s="7"/>
      <c r="Q6763" s="7"/>
      <c r="R6763" s="7"/>
      <c r="S6763" s="7"/>
      <c r="T6763" s="7"/>
      <c r="U6763" s="7"/>
      <c r="V6763" s="7"/>
      <c r="W6763" s="7"/>
      <c r="X6763" s="7"/>
      <c r="Y6763" s="7"/>
      <c r="Z6763" s="7"/>
    </row>
    <row r="6764">
      <c r="A6764" s="7"/>
      <c r="B6764" s="7"/>
      <c r="C6764" s="7"/>
      <c r="D6764" s="7"/>
      <c r="E6764" s="7"/>
      <c r="F6764" s="7"/>
      <c r="G6764" s="7"/>
      <c r="H6764" s="7"/>
      <c r="I6764" s="7"/>
      <c r="J6764" s="7"/>
      <c r="K6764" s="7"/>
      <c r="L6764" s="7"/>
      <c r="M6764" s="7"/>
      <c r="N6764" s="7"/>
      <c r="O6764" s="7"/>
      <c r="P6764" s="7"/>
      <c r="Q6764" s="7"/>
      <c r="R6764" s="7"/>
      <c r="S6764" s="7"/>
      <c r="T6764" s="7"/>
      <c r="U6764" s="7"/>
      <c r="V6764" s="7"/>
      <c r="W6764" s="7"/>
      <c r="X6764" s="7"/>
      <c r="Y6764" s="7"/>
      <c r="Z6764" s="7"/>
    </row>
    <row r="6765">
      <c r="A6765" s="7"/>
      <c r="B6765" s="7"/>
      <c r="C6765" s="7"/>
      <c r="D6765" s="7"/>
      <c r="E6765" s="7"/>
      <c r="F6765" s="7"/>
      <c r="G6765" s="7"/>
      <c r="H6765" s="7"/>
      <c r="I6765" s="7"/>
      <c r="J6765" s="7"/>
      <c r="K6765" s="7"/>
      <c r="L6765" s="7"/>
      <c r="M6765" s="7"/>
      <c r="N6765" s="7"/>
      <c r="O6765" s="7"/>
      <c r="P6765" s="7"/>
      <c r="Q6765" s="7"/>
      <c r="R6765" s="7"/>
      <c r="S6765" s="7"/>
      <c r="T6765" s="7"/>
      <c r="U6765" s="7"/>
      <c r="V6765" s="7"/>
      <c r="W6765" s="7"/>
      <c r="X6765" s="7"/>
      <c r="Y6765" s="7"/>
      <c r="Z6765" s="7"/>
    </row>
    <row r="6766">
      <c r="A6766" s="7"/>
      <c r="B6766" s="7"/>
      <c r="C6766" s="7"/>
      <c r="D6766" s="7"/>
      <c r="E6766" s="7"/>
      <c r="F6766" s="7"/>
      <c r="G6766" s="7"/>
      <c r="H6766" s="7"/>
      <c r="I6766" s="7"/>
      <c r="J6766" s="7"/>
      <c r="K6766" s="7"/>
      <c r="L6766" s="7"/>
      <c r="M6766" s="7"/>
      <c r="N6766" s="7"/>
      <c r="O6766" s="7"/>
      <c r="P6766" s="7"/>
      <c r="Q6766" s="7"/>
      <c r="R6766" s="7"/>
      <c r="S6766" s="7"/>
      <c r="T6766" s="7"/>
      <c r="U6766" s="7"/>
      <c r="V6766" s="7"/>
      <c r="W6766" s="7"/>
      <c r="X6766" s="7"/>
      <c r="Y6766" s="7"/>
      <c r="Z6766" s="7"/>
    </row>
    <row r="6767">
      <c r="A6767" s="7"/>
      <c r="B6767" s="7"/>
      <c r="C6767" s="7"/>
      <c r="D6767" s="7"/>
      <c r="E6767" s="7"/>
      <c r="F6767" s="7"/>
      <c r="G6767" s="7"/>
      <c r="H6767" s="7"/>
      <c r="I6767" s="7"/>
      <c r="J6767" s="7"/>
      <c r="K6767" s="7"/>
      <c r="L6767" s="7"/>
      <c r="M6767" s="7"/>
      <c r="N6767" s="7"/>
      <c r="O6767" s="7"/>
      <c r="P6767" s="7"/>
      <c r="Q6767" s="7"/>
      <c r="R6767" s="7"/>
      <c r="S6767" s="7"/>
      <c r="T6767" s="7"/>
      <c r="U6767" s="7"/>
      <c r="V6767" s="7"/>
      <c r="W6767" s="7"/>
      <c r="X6767" s="7"/>
      <c r="Y6767" s="7"/>
      <c r="Z6767" s="7"/>
    </row>
    <row r="6768">
      <c r="A6768" s="7"/>
      <c r="B6768" s="7"/>
      <c r="C6768" s="7"/>
      <c r="D6768" s="7"/>
      <c r="E6768" s="7"/>
      <c r="F6768" s="7"/>
      <c r="G6768" s="7"/>
      <c r="H6768" s="7"/>
      <c r="I6768" s="7"/>
      <c r="J6768" s="7"/>
      <c r="K6768" s="7"/>
      <c r="L6768" s="7"/>
      <c r="M6768" s="7"/>
      <c r="N6768" s="7"/>
      <c r="O6768" s="7"/>
      <c r="P6768" s="7"/>
      <c r="Q6768" s="7"/>
      <c r="R6768" s="7"/>
      <c r="S6768" s="7"/>
      <c r="T6768" s="7"/>
      <c r="U6768" s="7"/>
      <c r="V6768" s="7"/>
      <c r="W6768" s="7"/>
      <c r="X6768" s="7"/>
      <c r="Y6768" s="7"/>
      <c r="Z6768" s="7"/>
    </row>
    <row r="6769">
      <c r="A6769" s="7"/>
      <c r="B6769" s="7"/>
      <c r="C6769" s="7"/>
      <c r="D6769" s="7"/>
      <c r="E6769" s="7"/>
      <c r="F6769" s="7"/>
      <c r="G6769" s="7"/>
      <c r="H6769" s="7"/>
      <c r="I6769" s="7"/>
      <c r="J6769" s="7"/>
      <c r="K6769" s="7"/>
      <c r="L6769" s="7"/>
      <c r="M6769" s="7"/>
      <c r="N6769" s="7"/>
      <c r="O6769" s="7"/>
      <c r="P6769" s="7"/>
      <c r="Q6769" s="7"/>
      <c r="R6769" s="7"/>
      <c r="S6769" s="7"/>
      <c r="T6769" s="7"/>
      <c r="U6769" s="7"/>
      <c r="V6769" s="7"/>
      <c r="W6769" s="7"/>
      <c r="X6769" s="7"/>
      <c r="Y6769" s="7"/>
      <c r="Z6769" s="7"/>
    </row>
    <row r="6770">
      <c r="A6770" s="7"/>
      <c r="B6770" s="7"/>
      <c r="C6770" s="7"/>
      <c r="D6770" s="7"/>
      <c r="E6770" s="7"/>
      <c r="F6770" s="7"/>
      <c r="G6770" s="7"/>
      <c r="H6770" s="7"/>
      <c r="I6770" s="7"/>
      <c r="J6770" s="7"/>
      <c r="K6770" s="7"/>
      <c r="L6770" s="7"/>
      <c r="M6770" s="7"/>
      <c r="N6770" s="7"/>
      <c r="O6770" s="7"/>
      <c r="P6770" s="7"/>
      <c r="Q6770" s="7"/>
      <c r="R6770" s="7"/>
      <c r="S6770" s="7"/>
      <c r="T6770" s="7"/>
      <c r="U6770" s="7"/>
      <c r="V6770" s="7"/>
      <c r="W6770" s="7"/>
      <c r="X6770" s="7"/>
      <c r="Y6770" s="7"/>
      <c r="Z6770" s="7"/>
    </row>
    <row r="6771">
      <c r="A6771" s="7"/>
      <c r="B6771" s="7"/>
      <c r="C6771" s="7"/>
      <c r="D6771" s="7"/>
      <c r="E6771" s="7"/>
      <c r="F6771" s="7"/>
      <c r="G6771" s="7"/>
      <c r="H6771" s="7"/>
      <c r="I6771" s="7"/>
      <c r="J6771" s="7"/>
      <c r="K6771" s="7"/>
      <c r="L6771" s="7"/>
      <c r="M6771" s="7"/>
      <c r="N6771" s="7"/>
      <c r="O6771" s="7"/>
      <c r="P6771" s="7"/>
      <c r="Q6771" s="7"/>
      <c r="R6771" s="7"/>
      <c r="S6771" s="7"/>
      <c r="T6771" s="7"/>
      <c r="U6771" s="7"/>
      <c r="V6771" s="7"/>
      <c r="W6771" s="7"/>
      <c r="X6771" s="7"/>
      <c r="Y6771" s="7"/>
      <c r="Z6771" s="7"/>
    </row>
    <row r="6772">
      <c r="A6772" s="7"/>
      <c r="B6772" s="7"/>
      <c r="C6772" s="7"/>
      <c r="D6772" s="7"/>
      <c r="E6772" s="7"/>
      <c r="F6772" s="7"/>
      <c r="G6772" s="7"/>
      <c r="H6772" s="7"/>
      <c r="I6772" s="7"/>
      <c r="J6772" s="7"/>
      <c r="K6772" s="7"/>
      <c r="L6772" s="7"/>
      <c r="M6772" s="7"/>
      <c r="N6772" s="7"/>
      <c r="O6772" s="7"/>
      <c r="P6772" s="7"/>
      <c r="Q6772" s="7"/>
      <c r="R6772" s="7"/>
      <c r="S6772" s="7"/>
      <c r="T6772" s="7"/>
      <c r="U6772" s="7"/>
      <c r="V6772" s="7"/>
      <c r="W6772" s="7"/>
      <c r="X6772" s="7"/>
      <c r="Y6772" s="7"/>
      <c r="Z6772" s="7"/>
    </row>
    <row r="6773">
      <c r="A6773" s="7"/>
      <c r="B6773" s="7"/>
      <c r="C6773" s="7"/>
      <c r="D6773" s="7"/>
      <c r="E6773" s="7"/>
      <c r="F6773" s="7"/>
      <c r="G6773" s="7"/>
      <c r="H6773" s="7"/>
      <c r="I6773" s="7"/>
      <c r="J6773" s="7"/>
      <c r="K6773" s="7"/>
      <c r="L6773" s="7"/>
      <c r="M6773" s="7"/>
      <c r="N6773" s="7"/>
      <c r="O6773" s="7"/>
      <c r="P6773" s="7"/>
      <c r="Q6773" s="7"/>
      <c r="R6773" s="7"/>
      <c r="S6773" s="7"/>
      <c r="T6773" s="7"/>
      <c r="U6773" s="7"/>
      <c r="V6773" s="7"/>
      <c r="W6773" s="7"/>
      <c r="X6773" s="7"/>
      <c r="Y6773" s="7"/>
      <c r="Z6773" s="7"/>
    </row>
    <row r="6774">
      <c r="A6774" s="7"/>
      <c r="B6774" s="7"/>
      <c r="C6774" s="7"/>
      <c r="D6774" s="7"/>
      <c r="E6774" s="7"/>
      <c r="F6774" s="7"/>
      <c r="G6774" s="7"/>
      <c r="H6774" s="7"/>
      <c r="I6774" s="7"/>
      <c r="J6774" s="7"/>
      <c r="K6774" s="7"/>
      <c r="L6774" s="7"/>
      <c r="M6774" s="7"/>
      <c r="N6774" s="7"/>
      <c r="O6774" s="7"/>
      <c r="P6774" s="7"/>
      <c r="Q6774" s="7"/>
      <c r="R6774" s="7"/>
      <c r="S6774" s="7"/>
      <c r="T6774" s="7"/>
      <c r="U6774" s="7"/>
      <c r="V6774" s="7"/>
      <c r="W6774" s="7"/>
      <c r="X6774" s="7"/>
      <c r="Y6774" s="7"/>
      <c r="Z6774" s="7"/>
    </row>
    <row r="6775">
      <c r="A6775" s="7"/>
      <c r="B6775" s="7"/>
      <c r="C6775" s="7"/>
      <c r="D6775" s="7"/>
      <c r="E6775" s="7"/>
      <c r="F6775" s="7"/>
      <c r="G6775" s="7"/>
      <c r="H6775" s="7"/>
      <c r="I6775" s="7"/>
      <c r="J6775" s="7"/>
      <c r="K6775" s="7"/>
      <c r="L6775" s="7"/>
      <c r="M6775" s="7"/>
      <c r="N6775" s="7"/>
      <c r="O6775" s="7"/>
      <c r="P6775" s="7"/>
      <c r="Q6775" s="7"/>
      <c r="R6775" s="7"/>
      <c r="S6775" s="7"/>
      <c r="T6775" s="7"/>
      <c r="U6775" s="7"/>
      <c r="V6775" s="7"/>
      <c r="W6775" s="7"/>
      <c r="X6775" s="7"/>
      <c r="Y6775" s="7"/>
      <c r="Z6775" s="7"/>
    </row>
    <row r="6776">
      <c r="A6776" s="7"/>
      <c r="B6776" s="7"/>
      <c r="C6776" s="7"/>
      <c r="D6776" s="7"/>
      <c r="E6776" s="7"/>
      <c r="F6776" s="7"/>
      <c r="G6776" s="7"/>
      <c r="H6776" s="7"/>
      <c r="I6776" s="7"/>
      <c r="J6776" s="7"/>
      <c r="K6776" s="7"/>
      <c r="L6776" s="7"/>
      <c r="M6776" s="7"/>
      <c r="N6776" s="7"/>
      <c r="O6776" s="7"/>
      <c r="P6776" s="7"/>
      <c r="Q6776" s="7"/>
      <c r="R6776" s="7"/>
      <c r="S6776" s="7"/>
      <c r="T6776" s="7"/>
      <c r="U6776" s="7"/>
      <c r="V6776" s="7"/>
      <c r="W6776" s="7"/>
      <c r="X6776" s="7"/>
      <c r="Y6776" s="7"/>
      <c r="Z6776" s="7"/>
    </row>
    <row r="6777">
      <c r="A6777" s="7"/>
      <c r="B6777" s="7"/>
      <c r="C6777" s="7"/>
      <c r="D6777" s="7"/>
      <c r="E6777" s="7"/>
      <c r="F6777" s="7"/>
      <c r="G6777" s="7"/>
      <c r="H6777" s="7"/>
      <c r="I6777" s="7"/>
      <c r="J6777" s="7"/>
      <c r="K6777" s="7"/>
      <c r="L6777" s="7"/>
      <c r="M6777" s="7"/>
      <c r="N6777" s="7"/>
      <c r="O6777" s="7"/>
      <c r="P6777" s="7"/>
      <c r="Q6777" s="7"/>
      <c r="R6777" s="7"/>
      <c r="S6777" s="7"/>
      <c r="T6777" s="7"/>
      <c r="U6777" s="7"/>
      <c r="V6777" s="7"/>
      <c r="W6777" s="7"/>
      <c r="X6777" s="7"/>
      <c r="Y6777" s="7"/>
      <c r="Z6777" s="7"/>
    </row>
    <row r="6778">
      <c r="A6778" s="7"/>
      <c r="B6778" s="7"/>
      <c r="C6778" s="7"/>
      <c r="D6778" s="7"/>
      <c r="E6778" s="7"/>
      <c r="F6778" s="7"/>
      <c r="G6778" s="7"/>
      <c r="H6778" s="7"/>
      <c r="I6778" s="7"/>
      <c r="J6778" s="7"/>
      <c r="K6778" s="7"/>
      <c r="L6778" s="7"/>
      <c r="M6778" s="7"/>
      <c r="N6778" s="7"/>
      <c r="O6778" s="7"/>
      <c r="P6778" s="7"/>
      <c r="Q6778" s="7"/>
      <c r="R6778" s="7"/>
      <c r="S6778" s="7"/>
      <c r="T6778" s="7"/>
      <c r="U6778" s="7"/>
      <c r="V6778" s="7"/>
      <c r="W6778" s="7"/>
      <c r="X6778" s="7"/>
      <c r="Y6778" s="7"/>
      <c r="Z6778" s="7"/>
    </row>
    <row r="6779">
      <c r="A6779" s="7"/>
      <c r="B6779" s="7"/>
      <c r="C6779" s="7"/>
      <c r="D6779" s="7"/>
      <c r="E6779" s="7"/>
      <c r="F6779" s="7"/>
      <c r="G6779" s="7"/>
      <c r="H6779" s="7"/>
      <c r="I6779" s="7"/>
      <c r="J6779" s="7"/>
      <c r="K6779" s="7"/>
      <c r="L6779" s="7"/>
      <c r="M6779" s="7"/>
      <c r="N6779" s="7"/>
      <c r="O6779" s="7"/>
      <c r="P6779" s="7"/>
      <c r="Q6779" s="7"/>
      <c r="R6779" s="7"/>
      <c r="S6779" s="7"/>
      <c r="T6779" s="7"/>
      <c r="U6779" s="7"/>
      <c r="V6779" s="7"/>
      <c r="W6779" s="7"/>
      <c r="X6779" s="7"/>
      <c r="Y6779" s="7"/>
      <c r="Z6779" s="7"/>
    </row>
    <row r="6780">
      <c r="A6780" s="7"/>
      <c r="B6780" s="7"/>
      <c r="C6780" s="7"/>
      <c r="D6780" s="7"/>
      <c r="E6780" s="7"/>
      <c r="F6780" s="7"/>
      <c r="G6780" s="7"/>
      <c r="H6780" s="7"/>
      <c r="I6780" s="7"/>
      <c r="J6780" s="7"/>
      <c r="K6780" s="7"/>
      <c r="L6780" s="7"/>
      <c r="M6780" s="7"/>
      <c r="N6780" s="7"/>
      <c r="O6780" s="7"/>
      <c r="P6780" s="7"/>
      <c r="Q6780" s="7"/>
      <c r="R6780" s="7"/>
      <c r="S6780" s="7"/>
      <c r="T6780" s="7"/>
      <c r="U6780" s="7"/>
      <c r="V6780" s="7"/>
      <c r="W6780" s="7"/>
      <c r="X6780" s="7"/>
      <c r="Y6780" s="7"/>
      <c r="Z6780" s="7"/>
    </row>
    <row r="6781">
      <c r="A6781" s="7"/>
      <c r="B6781" s="7"/>
      <c r="C6781" s="7"/>
      <c r="D6781" s="7"/>
      <c r="E6781" s="7"/>
      <c r="F6781" s="7"/>
      <c r="G6781" s="7"/>
      <c r="H6781" s="7"/>
      <c r="I6781" s="7"/>
      <c r="J6781" s="7"/>
      <c r="K6781" s="7"/>
      <c r="L6781" s="7"/>
      <c r="M6781" s="7"/>
      <c r="N6781" s="7"/>
      <c r="O6781" s="7"/>
      <c r="P6781" s="7"/>
      <c r="Q6781" s="7"/>
      <c r="R6781" s="7"/>
      <c r="S6781" s="7"/>
      <c r="T6781" s="7"/>
      <c r="U6781" s="7"/>
      <c r="V6781" s="7"/>
      <c r="W6781" s="7"/>
      <c r="X6781" s="7"/>
      <c r="Y6781" s="7"/>
      <c r="Z6781" s="7"/>
    </row>
    <row r="6782">
      <c r="A6782" s="7"/>
      <c r="B6782" s="7"/>
      <c r="C6782" s="7"/>
      <c r="D6782" s="7"/>
      <c r="E6782" s="7"/>
      <c r="F6782" s="7"/>
      <c r="G6782" s="7"/>
      <c r="H6782" s="7"/>
      <c r="I6782" s="7"/>
      <c r="J6782" s="7"/>
      <c r="K6782" s="7"/>
      <c r="L6782" s="7"/>
      <c r="M6782" s="7"/>
      <c r="N6782" s="7"/>
      <c r="O6782" s="7"/>
      <c r="P6782" s="7"/>
      <c r="Q6782" s="7"/>
      <c r="R6782" s="7"/>
      <c r="S6782" s="7"/>
      <c r="T6782" s="7"/>
      <c r="U6782" s="7"/>
      <c r="V6782" s="7"/>
      <c r="W6782" s="7"/>
      <c r="X6782" s="7"/>
      <c r="Y6782" s="7"/>
      <c r="Z6782" s="7"/>
    </row>
    <row r="6783">
      <c r="A6783" s="7"/>
      <c r="B6783" s="7"/>
      <c r="C6783" s="7"/>
      <c r="D6783" s="7"/>
      <c r="E6783" s="7"/>
      <c r="F6783" s="7"/>
      <c r="G6783" s="7"/>
      <c r="H6783" s="7"/>
      <c r="I6783" s="7"/>
      <c r="J6783" s="7"/>
      <c r="K6783" s="7"/>
      <c r="L6783" s="7"/>
      <c r="M6783" s="7"/>
      <c r="N6783" s="7"/>
      <c r="O6783" s="7"/>
      <c r="P6783" s="7"/>
      <c r="Q6783" s="7"/>
      <c r="R6783" s="7"/>
      <c r="S6783" s="7"/>
      <c r="T6783" s="7"/>
      <c r="U6783" s="7"/>
      <c r="V6783" s="7"/>
      <c r="W6783" s="7"/>
      <c r="X6783" s="7"/>
      <c r="Y6783" s="7"/>
      <c r="Z6783" s="7"/>
    </row>
    <row r="6784">
      <c r="A6784" s="7"/>
      <c r="B6784" s="7"/>
      <c r="C6784" s="7"/>
      <c r="D6784" s="7"/>
      <c r="E6784" s="7"/>
      <c r="F6784" s="7"/>
      <c r="G6784" s="7"/>
      <c r="H6784" s="7"/>
      <c r="I6784" s="7"/>
      <c r="J6784" s="7"/>
      <c r="K6784" s="7"/>
      <c r="L6784" s="7"/>
      <c r="M6784" s="7"/>
      <c r="N6784" s="7"/>
      <c r="O6784" s="7"/>
      <c r="P6784" s="7"/>
      <c r="Q6784" s="7"/>
      <c r="R6784" s="7"/>
      <c r="S6784" s="7"/>
      <c r="T6784" s="7"/>
      <c r="U6784" s="7"/>
      <c r="V6784" s="7"/>
      <c r="W6784" s="7"/>
      <c r="X6784" s="7"/>
      <c r="Y6784" s="7"/>
      <c r="Z6784" s="7"/>
    </row>
    <row r="6785">
      <c r="A6785" s="7"/>
      <c r="B6785" s="7"/>
      <c r="C6785" s="7"/>
      <c r="D6785" s="7"/>
      <c r="E6785" s="7"/>
      <c r="F6785" s="7"/>
      <c r="G6785" s="7"/>
      <c r="H6785" s="7"/>
      <c r="I6785" s="7"/>
      <c r="J6785" s="7"/>
      <c r="K6785" s="7"/>
      <c r="L6785" s="7"/>
      <c r="M6785" s="7"/>
      <c r="N6785" s="7"/>
      <c r="O6785" s="7"/>
      <c r="P6785" s="7"/>
      <c r="Q6785" s="7"/>
      <c r="R6785" s="7"/>
      <c r="S6785" s="7"/>
      <c r="T6785" s="7"/>
      <c r="U6785" s="7"/>
      <c r="V6785" s="7"/>
      <c r="W6785" s="7"/>
      <c r="X6785" s="7"/>
      <c r="Y6785" s="7"/>
      <c r="Z6785" s="7"/>
    </row>
    <row r="6786">
      <c r="A6786" s="7"/>
      <c r="B6786" s="7"/>
      <c r="C6786" s="7"/>
      <c r="D6786" s="7"/>
      <c r="E6786" s="7"/>
      <c r="F6786" s="7"/>
      <c r="G6786" s="7"/>
      <c r="H6786" s="7"/>
      <c r="I6786" s="7"/>
      <c r="J6786" s="7"/>
      <c r="K6786" s="7"/>
      <c r="L6786" s="7"/>
      <c r="M6786" s="7"/>
      <c r="N6786" s="7"/>
      <c r="O6786" s="7"/>
      <c r="P6786" s="7"/>
      <c r="Q6786" s="7"/>
      <c r="R6786" s="7"/>
      <c r="S6786" s="7"/>
      <c r="T6786" s="7"/>
      <c r="U6786" s="7"/>
      <c r="V6786" s="7"/>
      <c r="W6786" s="7"/>
      <c r="X6786" s="7"/>
      <c r="Y6786" s="7"/>
      <c r="Z6786" s="7"/>
    </row>
    <row r="6787">
      <c r="A6787" s="7"/>
      <c r="B6787" s="7"/>
      <c r="C6787" s="7"/>
      <c r="D6787" s="7"/>
      <c r="E6787" s="7"/>
      <c r="F6787" s="7"/>
      <c r="G6787" s="7"/>
      <c r="H6787" s="7"/>
      <c r="I6787" s="7"/>
      <c r="J6787" s="7"/>
      <c r="K6787" s="7"/>
      <c r="L6787" s="7"/>
      <c r="M6787" s="7"/>
      <c r="N6787" s="7"/>
      <c r="O6787" s="7"/>
      <c r="P6787" s="7"/>
      <c r="Q6787" s="7"/>
      <c r="R6787" s="7"/>
      <c r="S6787" s="7"/>
      <c r="T6787" s="7"/>
      <c r="U6787" s="7"/>
      <c r="V6787" s="7"/>
      <c r="W6787" s="7"/>
      <c r="X6787" s="7"/>
      <c r="Y6787" s="7"/>
      <c r="Z6787" s="7"/>
    </row>
    <row r="6788">
      <c r="A6788" s="7"/>
      <c r="B6788" s="7"/>
      <c r="C6788" s="7"/>
      <c r="D6788" s="7"/>
      <c r="E6788" s="7"/>
      <c r="F6788" s="7"/>
      <c r="G6788" s="7"/>
      <c r="H6788" s="7"/>
      <c r="I6788" s="7"/>
      <c r="J6788" s="7"/>
      <c r="K6788" s="7"/>
      <c r="L6788" s="7"/>
      <c r="M6788" s="7"/>
      <c r="N6788" s="7"/>
      <c r="O6788" s="7"/>
      <c r="P6788" s="7"/>
      <c r="Q6788" s="7"/>
      <c r="R6788" s="7"/>
      <c r="S6788" s="7"/>
      <c r="T6788" s="7"/>
      <c r="U6788" s="7"/>
      <c r="V6788" s="7"/>
      <c r="W6788" s="7"/>
      <c r="X6788" s="7"/>
      <c r="Y6788" s="7"/>
      <c r="Z6788" s="7"/>
    </row>
    <row r="6789">
      <c r="A6789" s="7"/>
      <c r="B6789" s="7"/>
      <c r="C6789" s="7"/>
      <c r="D6789" s="7"/>
      <c r="E6789" s="7"/>
      <c r="F6789" s="7"/>
      <c r="G6789" s="7"/>
      <c r="H6789" s="7"/>
      <c r="I6789" s="7"/>
      <c r="J6789" s="7"/>
      <c r="K6789" s="7"/>
      <c r="L6789" s="7"/>
      <c r="M6789" s="7"/>
      <c r="N6789" s="7"/>
      <c r="O6789" s="7"/>
      <c r="P6789" s="7"/>
      <c r="Q6789" s="7"/>
      <c r="R6789" s="7"/>
      <c r="S6789" s="7"/>
      <c r="T6789" s="7"/>
      <c r="U6789" s="7"/>
      <c r="V6789" s="7"/>
      <c r="W6789" s="7"/>
      <c r="X6789" s="7"/>
      <c r="Y6789" s="7"/>
      <c r="Z6789" s="7"/>
    </row>
    <row r="6790">
      <c r="A6790" s="7"/>
      <c r="B6790" s="7"/>
      <c r="C6790" s="7"/>
      <c r="D6790" s="7"/>
      <c r="E6790" s="7"/>
      <c r="F6790" s="7"/>
      <c r="G6790" s="7"/>
      <c r="H6790" s="7"/>
      <c r="I6790" s="7"/>
      <c r="J6790" s="7"/>
      <c r="K6790" s="7"/>
      <c r="L6790" s="7"/>
      <c r="M6790" s="7"/>
      <c r="N6790" s="7"/>
      <c r="O6790" s="7"/>
      <c r="P6790" s="7"/>
      <c r="Q6790" s="7"/>
      <c r="R6790" s="7"/>
      <c r="S6790" s="7"/>
      <c r="T6790" s="7"/>
      <c r="U6790" s="7"/>
      <c r="V6790" s="7"/>
      <c r="W6790" s="7"/>
      <c r="X6790" s="7"/>
      <c r="Y6790" s="7"/>
      <c r="Z6790" s="7"/>
    </row>
    <row r="6791">
      <c r="A6791" s="7"/>
      <c r="B6791" s="7"/>
      <c r="C6791" s="7"/>
      <c r="D6791" s="7"/>
      <c r="E6791" s="7"/>
      <c r="F6791" s="7"/>
      <c r="G6791" s="7"/>
      <c r="H6791" s="7"/>
      <c r="I6791" s="7"/>
      <c r="J6791" s="7"/>
      <c r="K6791" s="7"/>
      <c r="L6791" s="7"/>
      <c r="M6791" s="7"/>
      <c r="N6791" s="7"/>
      <c r="O6791" s="7"/>
      <c r="P6791" s="7"/>
      <c r="Q6791" s="7"/>
      <c r="R6791" s="7"/>
      <c r="S6791" s="7"/>
      <c r="T6791" s="7"/>
      <c r="U6791" s="7"/>
      <c r="V6791" s="7"/>
      <c r="W6791" s="7"/>
      <c r="X6791" s="7"/>
      <c r="Y6791" s="7"/>
      <c r="Z6791" s="7"/>
    </row>
    <row r="6792">
      <c r="A6792" s="7"/>
      <c r="B6792" s="7"/>
      <c r="C6792" s="7"/>
      <c r="D6792" s="7"/>
      <c r="E6792" s="7"/>
      <c r="F6792" s="7"/>
      <c r="G6792" s="7"/>
      <c r="H6792" s="7"/>
      <c r="I6792" s="7"/>
      <c r="J6792" s="7"/>
      <c r="K6792" s="7"/>
      <c r="L6792" s="7"/>
      <c r="M6792" s="7"/>
      <c r="N6792" s="7"/>
      <c r="O6792" s="7"/>
      <c r="P6792" s="7"/>
      <c r="Q6792" s="7"/>
      <c r="R6792" s="7"/>
      <c r="S6792" s="7"/>
      <c r="T6792" s="7"/>
      <c r="U6792" s="7"/>
      <c r="V6792" s="7"/>
      <c r="W6792" s="7"/>
      <c r="X6792" s="7"/>
      <c r="Y6792" s="7"/>
      <c r="Z6792" s="7"/>
    </row>
    <row r="6793">
      <c r="A6793" s="7"/>
      <c r="B6793" s="7"/>
      <c r="C6793" s="7"/>
      <c r="D6793" s="7"/>
      <c r="E6793" s="7"/>
      <c r="F6793" s="7"/>
      <c r="G6793" s="7"/>
      <c r="H6793" s="7"/>
      <c r="I6793" s="7"/>
      <c r="J6793" s="7"/>
      <c r="K6793" s="7"/>
      <c r="L6793" s="7"/>
      <c r="M6793" s="7"/>
      <c r="N6793" s="7"/>
      <c r="O6793" s="7"/>
      <c r="P6793" s="7"/>
      <c r="Q6793" s="7"/>
      <c r="R6793" s="7"/>
      <c r="S6793" s="7"/>
      <c r="T6793" s="7"/>
      <c r="U6793" s="7"/>
      <c r="V6793" s="7"/>
      <c r="W6793" s="7"/>
      <c r="X6793" s="7"/>
      <c r="Y6793" s="7"/>
      <c r="Z6793" s="7"/>
    </row>
    <row r="6794">
      <c r="A6794" s="7"/>
      <c r="B6794" s="7"/>
      <c r="C6794" s="7"/>
      <c r="D6794" s="7"/>
      <c r="E6794" s="7"/>
      <c r="F6794" s="7"/>
      <c r="G6794" s="7"/>
      <c r="H6794" s="7"/>
      <c r="I6794" s="7"/>
      <c r="J6794" s="7"/>
      <c r="K6794" s="7"/>
      <c r="L6794" s="7"/>
      <c r="M6794" s="7"/>
      <c r="N6794" s="7"/>
      <c r="O6794" s="7"/>
      <c r="P6794" s="7"/>
      <c r="Q6794" s="7"/>
      <c r="R6794" s="7"/>
      <c r="S6794" s="7"/>
      <c r="T6794" s="7"/>
      <c r="U6794" s="7"/>
      <c r="V6794" s="7"/>
      <c r="W6794" s="7"/>
      <c r="X6794" s="7"/>
      <c r="Y6794" s="7"/>
      <c r="Z6794" s="7"/>
    </row>
    <row r="6795">
      <c r="A6795" s="7"/>
      <c r="B6795" s="7"/>
      <c r="C6795" s="7"/>
      <c r="D6795" s="7"/>
      <c r="E6795" s="7"/>
      <c r="F6795" s="7"/>
      <c r="G6795" s="7"/>
      <c r="H6795" s="7"/>
      <c r="I6795" s="7"/>
      <c r="J6795" s="7"/>
      <c r="K6795" s="7"/>
      <c r="L6795" s="7"/>
      <c r="M6795" s="7"/>
      <c r="N6795" s="7"/>
      <c r="O6795" s="7"/>
      <c r="P6795" s="7"/>
      <c r="Q6795" s="7"/>
      <c r="R6795" s="7"/>
      <c r="S6795" s="7"/>
      <c r="T6795" s="7"/>
      <c r="U6795" s="7"/>
      <c r="V6795" s="7"/>
      <c r="W6795" s="7"/>
      <c r="X6795" s="7"/>
      <c r="Y6795" s="7"/>
      <c r="Z6795" s="7"/>
    </row>
    <row r="6796">
      <c r="A6796" s="7"/>
      <c r="B6796" s="7"/>
      <c r="C6796" s="7"/>
      <c r="D6796" s="7"/>
      <c r="E6796" s="7"/>
      <c r="F6796" s="7"/>
      <c r="G6796" s="7"/>
      <c r="H6796" s="7"/>
      <c r="I6796" s="7"/>
      <c r="J6796" s="7"/>
      <c r="K6796" s="7"/>
      <c r="L6796" s="7"/>
      <c r="M6796" s="7"/>
      <c r="N6796" s="7"/>
      <c r="O6796" s="7"/>
      <c r="P6796" s="7"/>
      <c r="Q6796" s="7"/>
      <c r="R6796" s="7"/>
      <c r="S6796" s="7"/>
      <c r="T6796" s="7"/>
      <c r="U6796" s="7"/>
      <c r="V6796" s="7"/>
      <c r="W6796" s="7"/>
      <c r="X6796" s="7"/>
      <c r="Y6796" s="7"/>
      <c r="Z6796" s="7"/>
    </row>
    <row r="6797">
      <c r="A6797" s="7"/>
      <c r="B6797" s="7"/>
      <c r="C6797" s="7"/>
      <c r="D6797" s="7"/>
      <c r="E6797" s="7"/>
      <c r="F6797" s="7"/>
      <c r="G6797" s="7"/>
      <c r="H6797" s="7"/>
      <c r="I6797" s="7"/>
      <c r="J6797" s="7"/>
      <c r="K6797" s="7"/>
      <c r="L6797" s="7"/>
      <c r="M6797" s="7"/>
      <c r="N6797" s="7"/>
      <c r="O6797" s="7"/>
      <c r="P6797" s="7"/>
      <c r="Q6797" s="7"/>
      <c r="R6797" s="7"/>
      <c r="S6797" s="7"/>
      <c r="T6797" s="7"/>
      <c r="U6797" s="7"/>
      <c r="V6797" s="7"/>
      <c r="W6797" s="7"/>
      <c r="X6797" s="7"/>
      <c r="Y6797" s="7"/>
      <c r="Z6797" s="7"/>
    </row>
    <row r="6798">
      <c r="A6798" s="7"/>
      <c r="B6798" s="7"/>
      <c r="C6798" s="7"/>
      <c r="D6798" s="7"/>
      <c r="E6798" s="7"/>
      <c r="F6798" s="7"/>
      <c r="G6798" s="7"/>
      <c r="H6798" s="7"/>
      <c r="I6798" s="7"/>
      <c r="J6798" s="7"/>
      <c r="K6798" s="7"/>
      <c r="L6798" s="7"/>
      <c r="M6798" s="7"/>
      <c r="N6798" s="7"/>
      <c r="O6798" s="7"/>
      <c r="P6798" s="7"/>
      <c r="Q6798" s="7"/>
      <c r="R6798" s="7"/>
      <c r="S6798" s="7"/>
      <c r="T6798" s="7"/>
      <c r="U6798" s="7"/>
      <c r="V6798" s="7"/>
      <c r="W6798" s="7"/>
      <c r="X6798" s="7"/>
      <c r="Y6798" s="7"/>
      <c r="Z6798" s="7"/>
    </row>
    <row r="6799">
      <c r="A6799" s="7"/>
      <c r="B6799" s="7"/>
      <c r="C6799" s="7"/>
      <c r="D6799" s="7"/>
      <c r="E6799" s="7"/>
      <c r="F6799" s="7"/>
      <c r="G6799" s="7"/>
      <c r="H6799" s="7"/>
      <c r="I6799" s="7"/>
      <c r="J6799" s="7"/>
      <c r="K6799" s="7"/>
      <c r="L6799" s="7"/>
      <c r="M6799" s="7"/>
      <c r="N6799" s="7"/>
      <c r="O6799" s="7"/>
      <c r="P6799" s="7"/>
      <c r="Q6799" s="7"/>
      <c r="R6799" s="7"/>
      <c r="S6799" s="7"/>
      <c r="T6799" s="7"/>
      <c r="U6799" s="7"/>
      <c r="V6799" s="7"/>
      <c r="W6799" s="7"/>
      <c r="X6799" s="7"/>
      <c r="Y6799" s="7"/>
      <c r="Z6799" s="7"/>
    </row>
    <row r="6800">
      <c r="A6800" s="7"/>
      <c r="B6800" s="7"/>
      <c r="C6800" s="7"/>
      <c r="D6800" s="7"/>
      <c r="E6800" s="7"/>
      <c r="F6800" s="7"/>
      <c r="G6800" s="7"/>
      <c r="H6800" s="7"/>
      <c r="I6800" s="7"/>
      <c r="J6800" s="7"/>
      <c r="K6800" s="7"/>
      <c r="L6800" s="7"/>
      <c r="M6800" s="7"/>
      <c r="N6800" s="7"/>
      <c r="O6800" s="7"/>
      <c r="P6800" s="7"/>
      <c r="Q6800" s="7"/>
      <c r="R6800" s="7"/>
      <c r="S6800" s="7"/>
      <c r="T6800" s="7"/>
      <c r="U6800" s="7"/>
      <c r="V6800" s="7"/>
      <c r="W6800" s="7"/>
      <c r="X6800" s="7"/>
      <c r="Y6800" s="7"/>
      <c r="Z6800" s="7"/>
    </row>
    <row r="6801">
      <c r="A6801" s="7"/>
      <c r="B6801" s="7"/>
      <c r="C6801" s="7"/>
      <c r="D6801" s="7"/>
      <c r="E6801" s="7"/>
      <c r="F6801" s="7"/>
      <c r="G6801" s="7"/>
      <c r="H6801" s="7"/>
      <c r="I6801" s="7"/>
      <c r="J6801" s="7"/>
      <c r="K6801" s="7"/>
      <c r="L6801" s="7"/>
      <c r="M6801" s="7"/>
      <c r="N6801" s="7"/>
      <c r="O6801" s="7"/>
      <c r="P6801" s="7"/>
      <c r="Q6801" s="7"/>
      <c r="R6801" s="7"/>
      <c r="S6801" s="7"/>
      <c r="T6801" s="7"/>
      <c r="U6801" s="7"/>
      <c r="V6801" s="7"/>
      <c r="W6801" s="7"/>
      <c r="X6801" s="7"/>
      <c r="Y6801" s="7"/>
      <c r="Z6801" s="7"/>
    </row>
    <row r="6802">
      <c r="A6802" s="7"/>
      <c r="B6802" s="7"/>
      <c r="C6802" s="7"/>
      <c r="D6802" s="7"/>
      <c r="E6802" s="7"/>
      <c r="F6802" s="7"/>
      <c r="G6802" s="7"/>
      <c r="H6802" s="7"/>
      <c r="I6802" s="7"/>
      <c r="J6802" s="7"/>
      <c r="K6802" s="7"/>
      <c r="L6802" s="7"/>
      <c r="M6802" s="7"/>
      <c r="N6802" s="7"/>
      <c r="O6802" s="7"/>
      <c r="P6802" s="7"/>
      <c r="Q6802" s="7"/>
      <c r="R6802" s="7"/>
      <c r="S6802" s="7"/>
      <c r="T6802" s="7"/>
      <c r="U6802" s="7"/>
      <c r="V6802" s="7"/>
      <c r="W6802" s="7"/>
      <c r="X6802" s="7"/>
      <c r="Y6802" s="7"/>
      <c r="Z6802" s="7"/>
    </row>
    <row r="6803">
      <c r="A6803" s="7"/>
      <c r="B6803" s="7"/>
      <c r="C6803" s="7"/>
      <c r="D6803" s="7"/>
      <c r="E6803" s="7"/>
      <c r="F6803" s="7"/>
      <c r="G6803" s="7"/>
      <c r="H6803" s="7"/>
      <c r="I6803" s="7"/>
      <c r="J6803" s="7"/>
      <c r="K6803" s="7"/>
      <c r="L6803" s="7"/>
      <c r="M6803" s="7"/>
      <c r="N6803" s="7"/>
      <c r="O6803" s="7"/>
      <c r="P6803" s="7"/>
      <c r="Q6803" s="7"/>
      <c r="R6803" s="7"/>
      <c r="S6803" s="7"/>
      <c r="T6803" s="7"/>
      <c r="U6803" s="7"/>
      <c r="V6803" s="7"/>
      <c r="W6803" s="7"/>
      <c r="X6803" s="7"/>
      <c r="Y6803" s="7"/>
      <c r="Z6803" s="7"/>
    </row>
    <row r="6804">
      <c r="A6804" s="7"/>
      <c r="B6804" s="7"/>
      <c r="C6804" s="7"/>
      <c r="D6804" s="7"/>
      <c r="E6804" s="7"/>
      <c r="F6804" s="7"/>
      <c r="G6804" s="7"/>
      <c r="H6804" s="7"/>
      <c r="I6804" s="7"/>
      <c r="J6804" s="7"/>
      <c r="K6804" s="7"/>
      <c r="L6804" s="7"/>
      <c r="M6804" s="7"/>
      <c r="N6804" s="7"/>
      <c r="O6804" s="7"/>
      <c r="P6804" s="7"/>
      <c r="Q6804" s="7"/>
      <c r="R6804" s="7"/>
      <c r="S6804" s="7"/>
      <c r="T6804" s="7"/>
      <c r="U6804" s="7"/>
      <c r="V6804" s="7"/>
      <c r="W6804" s="7"/>
      <c r="X6804" s="7"/>
      <c r="Y6804" s="7"/>
      <c r="Z6804" s="7"/>
    </row>
    <row r="6805">
      <c r="A6805" s="7"/>
      <c r="B6805" s="7"/>
      <c r="C6805" s="7"/>
      <c r="D6805" s="7"/>
      <c r="E6805" s="7"/>
      <c r="F6805" s="7"/>
      <c r="G6805" s="7"/>
      <c r="H6805" s="7"/>
      <c r="I6805" s="7"/>
      <c r="J6805" s="7"/>
      <c r="K6805" s="7"/>
      <c r="L6805" s="7"/>
      <c r="M6805" s="7"/>
      <c r="N6805" s="7"/>
      <c r="O6805" s="7"/>
      <c r="P6805" s="7"/>
      <c r="Q6805" s="7"/>
      <c r="R6805" s="7"/>
      <c r="S6805" s="7"/>
      <c r="T6805" s="7"/>
      <c r="U6805" s="7"/>
      <c r="V6805" s="7"/>
      <c r="W6805" s="7"/>
      <c r="X6805" s="7"/>
      <c r="Y6805" s="7"/>
      <c r="Z6805" s="7"/>
    </row>
    <row r="6806">
      <c r="A6806" s="7"/>
      <c r="B6806" s="7"/>
      <c r="C6806" s="7"/>
      <c r="D6806" s="7"/>
      <c r="E6806" s="7"/>
      <c r="F6806" s="7"/>
      <c r="G6806" s="7"/>
      <c r="H6806" s="7"/>
      <c r="I6806" s="7"/>
      <c r="J6806" s="7"/>
      <c r="K6806" s="7"/>
      <c r="L6806" s="7"/>
      <c r="M6806" s="7"/>
      <c r="N6806" s="7"/>
      <c r="O6806" s="7"/>
      <c r="P6806" s="7"/>
      <c r="Q6806" s="7"/>
      <c r="R6806" s="7"/>
      <c r="S6806" s="7"/>
      <c r="T6806" s="7"/>
      <c r="U6806" s="7"/>
      <c r="V6806" s="7"/>
      <c r="W6806" s="7"/>
      <c r="X6806" s="7"/>
      <c r="Y6806" s="7"/>
      <c r="Z6806" s="7"/>
    </row>
    <row r="6807">
      <c r="A6807" s="7"/>
      <c r="B6807" s="7"/>
      <c r="C6807" s="7"/>
      <c r="D6807" s="7"/>
      <c r="E6807" s="7"/>
      <c r="F6807" s="7"/>
      <c r="G6807" s="7"/>
      <c r="H6807" s="7"/>
      <c r="I6807" s="7"/>
      <c r="J6807" s="7"/>
      <c r="K6807" s="7"/>
      <c r="L6807" s="7"/>
      <c r="M6807" s="7"/>
      <c r="N6807" s="7"/>
      <c r="O6807" s="7"/>
      <c r="P6807" s="7"/>
      <c r="Q6807" s="7"/>
      <c r="R6807" s="7"/>
      <c r="S6807" s="7"/>
      <c r="T6807" s="7"/>
      <c r="U6807" s="7"/>
      <c r="V6807" s="7"/>
      <c r="W6807" s="7"/>
      <c r="X6807" s="7"/>
      <c r="Y6807" s="7"/>
      <c r="Z6807" s="7"/>
    </row>
    <row r="6808">
      <c r="A6808" s="7"/>
      <c r="B6808" s="7"/>
      <c r="C6808" s="7"/>
      <c r="D6808" s="7"/>
      <c r="E6808" s="7"/>
      <c r="F6808" s="7"/>
      <c r="G6808" s="7"/>
      <c r="H6808" s="7"/>
      <c r="I6808" s="7"/>
      <c r="J6808" s="7"/>
      <c r="K6808" s="7"/>
      <c r="L6808" s="7"/>
      <c r="M6808" s="7"/>
      <c r="N6808" s="7"/>
      <c r="O6808" s="7"/>
      <c r="P6808" s="7"/>
      <c r="Q6808" s="7"/>
      <c r="R6808" s="7"/>
      <c r="S6808" s="7"/>
      <c r="T6808" s="7"/>
      <c r="U6808" s="7"/>
      <c r="V6808" s="7"/>
      <c r="W6808" s="7"/>
      <c r="X6808" s="7"/>
      <c r="Y6808" s="7"/>
      <c r="Z6808" s="7"/>
    </row>
    <row r="6809">
      <c r="A6809" s="7"/>
      <c r="B6809" s="7"/>
      <c r="C6809" s="7"/>
      <c r="D6809" s="7"/>
      <c r="E6809" s="7"/>
      <c r="F6809" s="7"/>
      <c r="G6809" s="7"/>
      <c r="H6809" s="7"/>
      <c r="I6809" s="7"/>
      <c r="J6809" s="7"/>
      <c r="K6809" s="7"/>
      <c r="L6809" s="7"/>
      <c r="M6809" s="7"/>
      <c r="N6809" s="7"/>
      <c r="O6809" s="7"/>
      <c r="P6809" s="7"/>
      <c r="Q6809" s="7"/>
      <c r="R6809" s="7"/>
      <c r="S6809" s="7"/>
      <c r="T6809" s="7"/>
      <c r="U6809" s="7"/>
      <c r="V6809" s="7"/>
      <c r="W6809" s="7"/>
      <c r="X6809" s="7"/>
      <c r="Y6809" s="7"/>
      <c r="Z6809" s="7"/>
    </row>
    <row r="6810">
      <c r="A6810" s="7"/>
      <c r="B6810" s="7"/>
      <c r="C6810" s="7"/>
      <c r="D6810" s="7"/>
      <c r="E6810" s="7"/>
      <c r="F6810" s="7"/>
      <c r="G6810" s="7"/>
      <c r="H6810" s="7"/>
      <c r="I6810" s="7"/>
      <c r="J6810" s="7"/>
      <c r="K6810" s="7"/>
      <c r="L6810" s="7"/>
      <c r="M6810" s="7"/>
      <c r="N6810" s="7"/>
      <c r="O6810" s="7"/>
      <c r="P6810" s="7"/>
      <c r="Q6810" s="7"/>
      <c r="R6810" s="7"/>
      <c r="S6810" s="7"/>
      <c r="T6810" s="7"/>
      <c r="U6810" s="7"/>
      <c r="V6810" s="7"/>
      <c r="W6810" s="7"/>
      <c r="X6810" s="7"/>
      <c r="Y6810" s="7"/>
      <c r="Z6810" s="7"/>
    </row>
    <row r="6811">
      <c r="A6811" s="7"/>
      <c r="B6811" s="7"/>
      <c r="C6811" s="7"/>
      <c r="D6811" s="7"/>
      <c r="E6811" s="7"/>
      <c r="F6811" s="7"/>
      <c r="G6811" s="7"/>
      <c r="H6811" s="7"/>
      <c r="I6811" s="7"/>
      <c r="J6811" s="7"/>
      <c r="K6811" s="7"/>
      <c r="L6811" s="7"/>
      <c r="M6811" s="7"/>
      <c r="N6811" s="7"/>
      <c r="O6811" s="7"/>
      <c r="P6811" s="7"/>
      <c r="Q6811" s="7"/>
      <c r="R6811" s="7"/>
      <c r="S6811" s="7"/>
      <c r="T6811" s="7"/>
      <c r="U6811" s="7"/>
      <c r="V6811" s="7"/>
      <c r="W6811" s="7"/>
      <c r="X6811" s="7"/>
      <c r="Y6811" s="7"/>
      <c r="Z6811" s="7"/>
    </row>
    <row r="6812">
      <c r="A6812" s="7"/>
      <c r="B6812" s="7"/>
      <c r="C6812" s="7"/>
      <c r="D6812" s="7"/>
      <c r="E6812" s="7"/>
      <c r="F6812" s="7"/>
      <c r="G6812" s="7"/>
      <c r="H6812" s="7"/>
      <c r="I6812" s="7"/>
      <c r="J6812" s="7"/>
      <c r="K6812" s="7"/>
      <c r="L6812" s="7"/>
      <c r="M6812" s="7"/>
      <c r="N6812" s="7"/>
      <c r="O6812" s="7"/>
      <c r="P6812" s="7"/>
      <c r="Q6812" s="7"/>
      <c r="R6812" s="7"/>
      <c r="S6812" s="7"/>
      <c r="T6812" s="7"/>
      <c r="U6812" s="7"/>
      <c r="V6812" s="7"/>
      <c r="W6812" s="7"/>
      <c r="X6812" s="7"/>
      <c r="Y6812" s="7"/>
      <c r="Z6812" s="7"/>
    </row>
    <row r="6813">
      <c r="A6813" s="7"/>
      <c r="B6813" s="7"/>
      <c r="C6813" s="7"/>
      <c r="D6813" s="7"/>
      <c r="E6813" s="7"/>
      <c r="F6813" s="7"/>
      <c r="G6813" s="7"/>
      <c r="H6813" s="7"/>
      <c r="I6813" s="7"/>
      <c r="J6813" s="7"/>
      <c r="K6813" s="7"/>
      <c r="L6813" s="7"/>
      <c r="M6813" s="7"/>
      <c r="N6813" s="7"/>
      <c r="O6813" s="7"/>
      <c r="P6813" s="7"/>
      <c r="Q6813" s="7"/>
      <c r="R6813" s="7"/>
      <c r="S6813" s="7"/>
      <c r="T6813" s="7"/>
      <c r="U6813" s="7"/>
      <c r="V6813" s="7"/>
      <c r="W6813" s="7"/>
      <c r="X6813" s="7"/>
      <c r="Y6813" s="7"/>
      <c r="Z6813" s="7"/>
    </row>
    <row r="6814">
      <c r="A6814" s="7"/>
      <c r="B6814" s="7"/>
      <c r="C6814" s="7"/>
      <c r="D6814" s="7"/>
      <c r="E6814" s="7"/>
      <c r="F6814" s="7"/>
      <c r="G6814" s="7"/>
      <c r="H6814" s="7"/>
      <c r="I6814" s="7"/>
      <c r="J6814" s="7"/>
      <c r="K6814" s="7"/>
      <c r="L6814" s="7"/>
      <c r="M6814" s="7"/>
      <c r="N6814" s="7"/>
      <c r="O6814" s="7"/>
      <c r="P6814" s="7"/>
      <c r="Q6814" s="7"/>
      <c r="R6814" s="7"/>
      <c r="S6814" s="7"/>
      <c r="T6814" s="7"/>
      <c r="U6814" s="7"/>
      <c r="V6814" s="7"/>
      <c r="W6814" s="7"/>
      <c r="X6814" s="7"/>
      <c r="Y6814" s="7"/>
      <c r="Z6814" s="7"/>
    </row>
    <row r="6815">
      <c r="A6815" s="7"/>
      <c r="B6815" s="7"/>
      <c r="C6815" s="7"/>
      <c r="D6815" s="7"/>
      <c r="E6815" s="7"/>
      <c r="F6815" s="7"/>
      <c r="G6815" s="7"/>
      <c r="H6815" s="7"/>
      <c r="I6815" s="7"/>
      <c r="J6815" s="7"/>
      <c r="K6815" s="7"/>
      <c r="L6815" s="7"/>
      <c r="M6815" s="7"/>
      <c r="N6815" s="7"/>
      <c r="O6815" s="7"/>
      <c r="P6815" s="7"/>
      <c r="Q6815" s="7"/>
      <c r="R6815" s="7"/>
      <c r="S6815" s="7"/>
      <c r="T6815" s="7"/>
      <c r="U6815" s="7"/>
      <c r="V6815" s="7"/>
      <c r="W6815" s="7"/>
      <c r="X6815" s="7"/>
      <c r="Y6815" s="7"/>
      <c r="Z6815" s="7"/>
    </row>
    <row r="6816">
      <c r="A6816" s="7"/>
      <c r="B6816" s="7"/>
      <c r="C6816" s="7"/>
      <c r="D6816" s="7"/>
      <c r="E6816" s="7"/>
      <c r="F6816" s="7"/>
      <c r="G6816" s="7"/>
      <c r="H6816" s="7"/>
      <c r="I6816" s="7"/>
      <c r="J6816" s="7"/>
      <c r="K6816" s="7"/>
      <c r="L6816" s="7"/>
      <c r="M6816" s="7"/>
      <c r="N6816" s="7"/>
      <c r="O6816" s="7"/>
      <c r="P6816" s="7"/>
      <c r="Q6816" s="7"/>
      <c r="R6816" s="7"/>
      <c r="S6816" s="7"/>
      <c r="T6816" s="7"/>
      <c r="U6816" s="7"/>
      <c r="V6816" s="7"/>
      <c r="W6816" s="7"/>
      <c r="X6816" s="7"/>
      <c r="Y6816" s="7"/>
      <c r="Z6816" s="7"/>
    </row>
    <row r="6817">
      <c r="A6817" s="7"/>
      <c r="B6817" s="7"/>
      <c r="C6817" s="7"/>
      <c r="D6817" s="7"/>
      <c r="E6817" s="7"/>
      <c r="F6817" s="7"/>
      <c r="G6817" s="7"/>
      <c r="H6817" s="7"/>
      <c r="I6817" s="7"/>
      <c r="J6817" s="7"/>
      <c r="K6817" s="7"/>
      <c r="L6817" s="7"/>
      <c r="M6817" s="7"/>
      <c r="N6817" s="7"/>
      <c r="O6817" s="7"/>
      <c r="P6817" s="7"/>
      <c r="Q6817" s="7"/>
      <c r="R6817" s="7"/>
      <c r="S6817" s="7"/>
      <c r="T6817" s="7"/>
      <c r="U6817" s="7"/>
      <c r="V6817" s="7"/>
      <c r="W6817" s="7"/>
      <c r="X6817" s="7"/>
      <c r="Y6817" s="7"/>
      <c r="Z6817" s="7"/>
    </row>
    <row r="6818">
      <c r="A6818" s="7"/>
      <c r="B6818" s="7"/>
      <c r="C6818" s="7"/>
      <c r="D6818" s="7"/>
      <c r="E6818" s="7"/>
      <c r="F6818" s="7"/>
      <c r="G6818" s="7"/>
      <c r="H6818" s="7"/>
      <c r="I6818" s="7"/>
      <c r="J6818" s="7"/>
      <c r="K6818" s="7"/>
      <c r="L6818" s="7"/>
      <c r="M6818" s="7"/>
      <c r="N6818" s="7"/>
      <c r="O6818" s="7"/>
      <c r="P6818" s="7"/>
      <c r="Q6818" s="7"/>
      <c r="R6818" s="7"/>
      <c r="S6818" s="7"/>
      <c r="T6818" s="7"/>
      <c r="U6818" s="7"/>
      <c r="V6818" s="7"/>
      <c r="W6818" s="7"/>
      <c r="X6818" s="7"/>
      <c r="Y6818" s="7"/>
      <c r="Z6818" s="7"/>
    </row>
    <row r="6819">
      <c r="A6819" s="7"/>
      <c r="B6819" s="7"/>
      <c r="C6819" s="7"/>
      <c r="D6819" s="7"/>
      <c r="E6819" s="7"/>
      <c r="F6819" s="7"/>
      <c r="G6819" s="7"/>
      <c r="H6819" s="7"/>
      <c r="I6819" s="7"/>
      <c r="J6819" s="7"/>
      <c r="K6819" s="7"/>
      <c r="L6819" s="7"/>
      <c r="M6819" s="7"/>
      <c r="N6819" s="7"/>
      <c r="O6819" s="7"/>
      <c r="P6819" s="7"/>
      <c r="Q6819" s="7"/>
      <c r="R6819" s="7"/>
      <c r="S6819" s="7"/>
      <c r="T6819" s="7"/>
      <c r="U6819" s="7"/>
      <c r="V6819" s="7"/>
      <c r="W6819" s="7"/>
      <c r="X6819" s="7"/>
      <c r="Y6819" s="7"/>
      <c r="Z6819" s="7"/>
    </row>
    <row r="6820">
      <c r="A6820" s="7"/>
      <c r="B6820" s="7"/>
      <c r="C6820" s="7"/>
      <c r="D6820" s="7"/>
      <c r="E6820" s="7"/>
      <c r="F6820" s="7"/>
      <c r="G6820" s="7"/>
      <c r="H6820" s="7"/>
      <c r="I6820" s="7"/>
      <c r="J6820" s="7"/>
      <c r="K6820" s="7"/>
      <c r="L6820" s="7"/>
      <c r="M6820" s="7"/>
      <c r="N6820" s="7"/>
      <c r="O6820" s="7"/>
      <c r="P6820" s="7"/>
      <c r="Q6820" s="7"/>
      <c r="R6820" s="7"/>
      <c r="S6820" s="7"/>
      <c r="T6820" s="7"/>
      <c r="U6820" s="7"/>
      <c r="V6820" s="7"/>
      <c r="W6820" s="7"/>
      <c r="X6820" s="7"/>
      <c r="Y6820" s="7"/>
      <c r="Z6820" s="7"/>
    </row>
    <row r="6821">
      <c r="A6821" s="7"/>
      <c r="B6821" s="7"/>
      <c r="C6821" s="7"/>
      <c r="D6821" s="7"/>
      <c r="E6821" s="7"/>
      <c r="F6821" s="7"/>
      <c r="G6821" s="7"/>
      <c r="H6821" s="7"/>
      <c r="I6821" s="7"/>
      <c r="J6821" s="7"/>
      <c r="K6821" s="7"/>
      <c r="L6821" s="7"/>
      <c r="M6821" s="7"/>
      <c r="N6821" s="7"/>
      <c r="O6821" s="7"/>
      <c r="P6821" s="7"/>
      <c r="Q6821" s="7"/>
      <c r="R6821" s="7"/>
      <c r="S6821" s="7"/>
      <c r="T6821" s="7"/>
      <c r="U6821" s="7"/>
      <c r="V6821" s="7"/>
      <c r="W6821" s="7"/>
      <c r="X6821" s="7"/>
      <c r="Y6821" s="7"/>
      <c r="Z6821" s="7"/>
    </row>
    <row r="6822">
      <c r="A6822" s="7"/>
      <c r="B6822" s="7"/>
      <c r="C6822" s="7"/>
      <c r="D6822" s="7"/>
      <c r="E6822" s="7"/>
      <c r="F6822" s="7"/>
      <c r="G6822" s="7"/>
      <c r="H6822" s="7"/>
      <c r="I6822" s="7"/>
      <c r="J6822" s="7"/>
      <c r="K6822" s="7"/>
      <c r="L6822" s="7"/>
      <c r="M6822" s="7"/>
      <c r="N6822" s="7"/>
      <c r="O6822" s="7"/>
      <c r="P6822" s="7"/>
      <c r="Q6822" s="7"/>
      <c r="R6822" s="7"/>
      <c r="S6822" s="7"/>
      <c r="T6822" s="7"/>
      <c r="U6822" s="7"/>
      <c r="V6822" s="7"/>
      <c r="W6822" s="7"/>
      <c r="X6822" s="7"/>
      <c r="Y6822" s="7"/>
      <c r="Z6822" s="7"/>
    </row>
    <row r="6823">
      <c r="A6823" s="7"/>
      <c r="B6823" s="7"/>
      <c r="C6823" s="7"/>
      <c r="D6823" s="7"/>
      <c r="E6823" s="7"/>
      <c r="F6823" s="7"/>
      <c r="G6823" s="7"/>
      <c r="H6823" s="7"/>
      <c r="I6823" s="7"/>
      <c r="J6823" s="7"/>
      <c r="K6823" s="7"/>
      <c r="L6823" s="7"/>
      <c r="M6823" s="7"/>
      <c r="N6823" s="7"/>
      <c r="O6823" s="7"/>
      <c r="P6823" s="7"/>
      <c r="Q6823" s="7"/>
      <c r="R6823" s="7"/>
      <c r="S6823" s="7"/>
      <c r="T6823" s="7"/>
      <c r="U6823" s="7"/>
      <c r="V6823" s="7"/>
      <c r="W6823" s="7"/>
      <c r="X6823" s="7"/>
      <c r="Y6823" s="7"/>
      <c r="Z6823" s="7"/>
    </row>
    <row r="6824">
      <c r="A6824" s="7"/>
      <c r="B6824" s="7"/>
      <c r="C6824" s="7"/>
      <c r="D6824" s="7"/>
      <c r="E6824" s="7"/>
      <c r="F6824" s="7"/>
      <c r="G6824" s="7"/>
      <c r="H6824" s="7"/>
      <c r="I6824" s="7"/>
      <c r="J6824" s="7"/>
      <c r="K6824" s="7"/>
      <c r="L6824" s="7"/>
      <c r="M6824" s="7"/>
      <c r="N6824" s="7"/>
      <c r="O6824" s="7"/>
      <c r="P6824" s="7"/>
      <c r="Q6824" s="7"/>
      <c r="R6824" s="7"/>
      <c r="S6824" s="7"/>
      <c r="T6824" s="7"/>
      <c r="U6824" s="7"/>
      <c r="V6824" s="7"/>
      <c r="W6824" s="7"/>
      <c r="X6824" s="7"/>
      <c r="Y6824" s="7"/>
      <c r="Z6824" s="7"/>
    </row>
    <row r="6825">
      <c r="A6825" s="7"/>
      <c r="B6825" s="7"/>
      <c r="C6825" s="7"/>
      <c r="D6825" s="7"/>
      <c r="E6825" s="7"/>
      <c r="F6825" s="7"/>
      <c r="G6825" s="7"/>
      <c r="H6825" s="7"/>
      <c r="I6825" s="7"/>
      <c r="J6825" s="7"/>
      <c r="K6825" s="7"/>
      <c r="L6825" s="7"/>
      <c r="M6825" s="7"/>
      <c r="N6825" s="7"/>
      <c r="O6825" s="7"/>
      <c r="P6825" s="7"/>
      <c r="Q6825" s="7"/>
      <c r="R6825" s="7"/>
      <c r="S6825" s="7"/>
      <c r="T6825" s="7"/>
      <c r="U6825" s="7"/>
      <c r="V6825" s="7"/>
      <c r="W6825" s="7"/>
      <c r="X6825" s="7"/>
      <c r="Y6825" s="7"/>
      <c r="Z6825" s="7"/>
    </row>
    <row r="6826">
      <c r="A6826" s="7"/>
      <c r="B6826" s="7"/>
      <c r="C6826" s="7"/>
      <c r="D6826" s="7"/>
      <c r="E6826" s="7"/>
      <c r="F6826" s="7"/>
      <c r="G6826" s="7"/>
      <c r="H6826" s="7"/>
      <c r="I6826" s="7"/>
      <c r="J6826" s="7"/>
      <c r="K6826" s="7"/>
      <c r="L6826" s="7"/>
      <c r="M6826" s="7"/>
      <c r="N6826" s="7"/>
      <c r="O6826" s="7"/>
      <c r="P6826" s="7"/>
      <c r="Q6826" s="7"/>
      <c r="R6826" s="7"/>
      <c r="S6826" s="7"/>
      <c r="T6826" s="7"/>
      <c r="U6826" s="7"/>
      <c r="V6826" s="7"/>
      <c r="W6826" s="7"/>
      <c r="X6826" s="7"/>
      <c r="Y6826" s="7"/>
      <c r="Z6826" s="7"/>
    </row>
    <row r="6827">
      <c r="A6827" s="7"/>
      <c r="B6827" s="7"/>
      <c r="C6827" s="7"/>
      <c r="D6827" s="7"/>
      <c r="E6827" s="7"/>
      <c r="F6827" s="7"/>
      <c r="G6827" s="7"/>
      <c r="H6827" s="7"/>
      <c r="I6827" s="7"/>
      <c r="J6827" s="7"/>
      <c r="K6827" s="7"/>
      <c r="L6827" s="7"/>
      <c r="M6827" s="7"/>
      <c r="N6827" s="7"/>
      <c r="O6827" s="7"/>
      <c r="P6827" s="7"/>
      <c r="Q6827" s="7"/>
      <c r="R6827" s="7"/>
      <c r="S6827" s="7"/>
      <c r="T6827" s="7"/>
      <c r="U6827" s="7"/>
      <c r="V6827" s="7"/>
      <c r="W6827" s="7"/>
      <c r="X6827" s="7"/>
      <c r="Y6827" s="7"/>
      <c r="Z6827" s="7"/>
    </row>
    <row r="6828">
      <c r="A6828" s="7"/>
      <c r="B6828" s="7"/>
      <c r="C6828" s="7"/>
      <c r="D6828" s="7"/>
      <c r="E6828" s="7"/>
      <c r="F6828" s="7"/>
      <c r="G6828" s="7"/>
      <c r="H6828" s="7"/>
      <c r="I6828" s="7"/>
      <c r="J6828" s="7"/>
      <c r="K6828" s="7"/>
      <c r="L6828" s="7"/>
      <c r="M6828" s="7"/>
      <c r="N6828" s="7"/>
      <c r="O6828" s="7"/>
      <c r="P6828" s="7"/>
      <c r="Q6828" s="7"/>
      <c r="R6828" s="7"/>
      <c r="S6828" s="7"/>
      <c r="T6828" s="7"/>
      <c r="U6828" s="7"/>
      <c r="V6828" s="7"/>
      <c r="W6828" s="7"/>
      <c r="X6828" s="7"/>
      <c r="Y6828" s="7"/>
      <c r="Z6828" s="7"/>
    </row>
    <row r="6829">
      <c r="A6829" s="7"/>
      <c r="B6829" s="7"/>
      <c r="C6829" s="7"/>
      <c r="D6829" s="7"/>
      <c r="E6829" s="7"/>
      <c r="F6829" s="7"/>
      <c r="G6829" s="7"/>
      <c r="H6829" s="7"/>
      <c r="I6829" s="7"/>
      <c r="J6829" s="7"/>
      <c r="K6829" s="7"/>
      <c r="L6829" s="7"/>
      <c r="M6829" s="7"/>
      <c r="N6829" s="7"/>
      <c r="O6829" s="7"/>
      <c r="P6829" s="7"/>
      <c r="Q6829" s="7"/>
      <c r="R6829" s="7"/>
      <c r="S6829" s="7"/>
      <c r="T6829" s="7"/>
      <c r="U6829" s="7"/>
      <c r="V6829" s="7"/>
      <c r="W6829" s="7"/>
      <c r="X6829" s="7"/>
      <c r="Y6829" s="7"/>
      <c r="Z6829" s="7"/>
    </row>
    <row r="6830">
      <c r="A6830" s="7"/>
      <c r="B6830" s="7"/>
      <c r="C6830" s="7"/>
      <c r="D6830" s="7"/>
      <c r="E6830" s="7"/>
      <c r="F6830" s="7"/>
      <c r="G6830" s="7"/>
      <c r="H6830" s="7"/>
      <c r="I6830" s="7"/>
      <c r="J6830" s="7"/>
      <c r="K6830" s="7"/>
      <c r="L6830" s="7"/>
      <c r="M6830" s="7"/>
      <c r="N6830" s="7"/>
      <c r="O6830" s="7"/>
      <c r="P6830" s="7"/>
      <c r="Q6830" s="7"/>
      <c r="R6830" s="7"/>
      <c r="S6830" s="7"/>
      <c r="T6830" s="7"/>
      <c r="U6830" s="7"/>
      <c r="V6830" s="7"/>
      <c r="W6830" s="7"/>
      <c r="X6830" s="7"/>
      <c r="Y6830" s="7"/>
      <c r="Z6830" s="7"/>
    </row>
    <row r="6831">
      <c r="A6831" s="7"/>
      <c r="B6831" s="7"/>
      <c r="C6831" s="7"/>
      <c r="D6831" s="7"/>
      <c r="E6831" s="7"/>
      <c r="F6831" s="7"/>
      <c r="G6831" s="7"/>
      <c r="H6831" s="7"/>
      <c r="I6831" s="7"/>
      <c r="J6831" s="7"/>
      <c r="K6831" s="7"/>
      <c r="L6831" s="7"/>
      <c r="M6831" s="7"/>
      <c r="N6831" s="7"/>
      <c r="O6831" s="7"/>
      <c r="P6831" s="7"/>
      <c r="Q6831" s="7"/>
      <c r="R6831" s="7"/>
      <c r="S6831" s="7"/>
      <c r="T6831" s="7"/>
      <c r="U6831" s="7"/>
      <c r="V6831" s="7"/>
      <c r="W6831" s="7"/>
      <c r="X6831" s="7"/>
      <c r="Y6831" s="7"/>
      <c r="Z6831" s="7"/>
    </row>
    <row r="6832">
      <c r="A6832" s="7"/>
      <c r="B6832" s="7"/>
      <c r="C6832" s="7"/>
      <c r="D6832" s="7"/>
      <c r="E6832" s="7"/>
      <c r="F6832" s="7"/>
      <c r="G6832" s="7"/>
      <c r="H6832" s="7"/>
      <c r="I6832" s="7"/>
      <c r="J6832" s="7"/>
      <c r="K6832" s="7"/>
      <c r="L6832" s="7"/>
      <c r="M6832" s="7"/>
      <c r="N6832" s="7"/>
      <c r="O6832" s="7"/>
      <c r="P6832" s="7"/>
      <c r="Q6832" s="7"/>
      <c r="R6832" s="7"/>
      <c r="S6832" s="7"/>
      <c r="T6832" s="7"/>
      <c r="U6832" s="7"/>
      <c r="V6832" s="7"/>
      <c r="W6832" s="7"/>
      <c r="X6832" s="7"/>
      <c r="Y6832" s="7"/>
      <c r="Z6832" s="7"/>
    </row>
    <row r="6833">
      <c r="A6833" s="7"/>
      <c r="B6833" s="7"/>
      <c r="C6833" s="7"/>
      <c r="D6833" s="7"/>
      <c r="E6833" s="7"/>
      <c r="F6833" s="7"/>
      <c r="G6833" s="7"/>
      <c r="H6833" s="7"/>
      <c r="I6833" s="7"/>
      <c r="J6833" s="7"/>
      <c r="K6833" s="7"/>
      <c r="L6833" s="7"/>
      <c r="M6833" s="7"/>
      <c r="N6833" s="7"/>
      <c r="O6833" s="7"/>
      <c r="P6833" s="7"/>
      <c r="Q6833" s="7"/>
      <c r="R6833" s="7"/>
      <c r="S6833" s="7"/>
      <c r="T6833" s="7"/>
      <c r="U6833" s="7"/>
      <c r="V6833" s="7"/>
      <c r="W6833" s="7"/>
      <c r="X6833" s="7"/>
      <c r="Y6833" s="7"/>
      <c r="Z6833" s="7"/>
    </row>
    <row r="6834">
      <c r="A6834" s="7"/>
      <c r="B6834" s="7"/>
      <c r="C6834" s="7"/>
      <c r="D6834" s="7"/>
      <c r="E6834" s="7"/>
      <c r="F6834" s="7"/>
      <c r="G6834" s="7"/>
      <c r="H6834" s="7"/>
      <c r="I6834" s="7"/>
      <c r="J6834" s="7"/>
      <c r="K6834" s="7"/>
      <c r="L6834" s="7"/>
      <c r="M6834" s="7"/>
      <c r="N6834" s="7"/>
      <c r="O6834" s="7"/>
      <c r="P6834" s="7"/>
      <c r="Q6834" s="7"/>
      <c r="R6834" s="7"/>
      <c r="S6834" s="7"/>
      <c r="T6834" s="7"/>
      <c r="U6834" s="7"/>
      <c r="V6834" s="7"/>
      <c r="W6834" s="7"/>
      <c r="X6834" s="7"/>
      <c r="Y6834" s="7"/>
      <c r="Z6834" s="7"/>
    </row>
    <row r="6835">
      <c r="A6835" s="7"/>
      <c r="B6835" s="7"/>
      <c r="C6835" s="7"/>
      <c r="D6835" s="7"/>
      <c r="E6835" s="7"/>
      <c r="F6835" s="7"/>
      <c r="G6835" s="7"/>
      <c r="H6835" s="7"/>
      <c r="I6835" s="7"/>
      <c r="J6835" s="7"/>
      <c r="K6835" s="7"/>
      <c r="L6835" s="7"/>
      <c r="M6835" s="7"/>
      <c r="N6835" s="7"/>
      <c r="O6835" s="7"/>
      <c r="P6835" s="7"/>
      <c r="Q6835" s="7"/>
      <c r="R6835" s="7"/>
      <c r="S6835" s="7"/>
      <c r="T6835" s="7"/>
      <c r="U6835" s="7"/>
      <c r="V6835" s="7"/>
      <c r="W6835" s="7"/>
      <c r="X6835" s="7"/>
      <c r="Y6835" s="7"/>
      <c r="Z6835" s="7"/>
    </row>
    <row r="6836">
      <c r="A6836" s="7"/>
      <c r="B6836" s="7"/>
      <c r="C6836" s="7"/>
      <c r="D6836" s="7"/>
      <c r="E6836" s="7"/>
      <c r="F6836" s="7"/>
      <c r="G6836" s="7"/>
      <c r="H6836" s="7"/>
      <c r="I6836" s="7"/>
      <c r="J6836" s="7"/>
      <c r="K6836" s="7"/>
      <c r="L6836" s="7"/>
      <c r="M6836" s="7"/>
      <c r="N6836" s="7"/>
      <c r="O6836" s="7"/>
      <c r="P6836" s="7"/>
      <c r="Q6836" s="7"/>
      <c r="R6836" s="7"/>
      <c r="S6836" s="7"/>
      <c r="T6836" s="7"/>
      <c r="U6836" s="7"/>
      <c r="V6836" s="7"/>
      <c r="W6836" s="7"/>
      <c r="X6836" s="7"/>
      <c r="Y6836" s="7"/>
      <c r="Z6836" s="7"/>
    </row>
    <row r="6837">
      <c r="A6837" s="7"/>
      <c r="B6837" s="7"/>
      <c r="C6837" s="7"/>
      <c r="D6837" s="7"/>
      <c r="E6837" s="7"/>
      <c r="F6837" s="7"/>
      <c r="G6837" s="7"/>
      <c r="H6837" s="7"/>
      <c r="I6837" s="7"/>
      <c r="J6837" s="7"/>
      <c r="K6837" s="7"/>
      <c r="L6837" s="7"/>
      <c r="M6837" s="7"/>
      <c r="N6837" s="7"/>
      <c r="O6837" s="7"/>
      <c r="P6837" s="7"/>
      <c r="Q6837" s="7"/>
      <c r="R6837" s="7"/>
      <c r="S6837" s="7"/>
      <c r="T6837" s="7"/>
      <c r="U6837" s="7"/>
      <c r="V6837" s="7"/>
      <c r="W6837" s="7"/>
      <c r="X6837" s="7"/>
      <c r="Y6837" s="7"/>
      <c r="Z6837" s="7"/>
    </row>
    <row r="6838">
      <c r="A6838" s="7"/>
      <c r="B6838" s="7"/>
      <c r="C6838" s="7"/>
      <c r="D6838" s="7"/>
      <c r="E6838" s="7"/>
      <c r="F6838" s="7"/>
      <c r="G6838" s="7"/>
      <c r="H6838" s="7"/>
      <c r="I6838" s="7"/>
      <c r="J6838" s="7"/>
      <c r="K6838" s="7"/>
      <c r="L6838" s="7"/>
      <c r="M6838" s="7"/>
      <c r="N6838" s="7"/>
      <c r="O6838" s="7"/>
      <c r="P6838" s="7"/>
      <c r="Q6838" s="7"/>
      <c r="R6838" s="7"/>
      <c r="S6838" s="7"/>
      <c r="T6838" s="7"/>
      <c r="U6838" s="7"/>
      <c r="V6838" s="7"/>
      <c r="W6838" s="7"/>
      <c r="X6838" s="7"/>
      <c r="Y6838" s="7"/>
      <c r="Z6838" s="7"/>
    </row>
    <row r="6839">
      <c r="A6839" s="7"/>
      <c r="B6839" s="7"/>
      <c r="C6839" s="7"/>
      <c r="D6839" s="7"/>
      <c r="E6839" s="7"/>
      <c r="F6839" s="7"/>
      <c r="G6839" s="7"/>
      <c r="H6839" s="7"/>
      <c r="I6839" s="7"/>
      <c r="J6839" s="7"/>
      <c r="K6839" s="7"/>
      <c r="L6839" s="7"/>
      <c r="M6839" s="7"/>
      <c r="N6839" s="7"/>
      <c r="O6839" s="7"/>
      <c r="P6839" s="7"/>
      <c r="Q6839" s="7"/>
      <c r="R6839" s="7"/>
      <c r="S6839" s="7"/>
      <c r="T6839" s="7"/>
      <c r="U6839" s="7"/>
      <c r="V6839" s="7"/>
      <c r="W6839" s="7"/>
      <c r="X6839" s="7"/>
      <c r="Y6839" s="7"/>
      <c r="Z6839" s="7"/>
    </row>
    <row r="6840">
      <c r="A6840" s="7"/>
      <c r="B6840" s="7"/>
      <c r="C6840" s="7"/>
      <c r="D6840" s="7"/>
      <c r="E6840" s="7"/>
      <c r="F6840" s="7"/>
      <c r="G6840" s="7"/>
      <c r="H6840" s="7"/>
      <c r="I6840" s="7"/>
      <c r="J6840" s="7"/>
      <c r="K6840" s="7"/>
      <c r="L6840" s="7"/>
      <c r="M6840" s="7"/>
      <c r="N6840" s="7"/>
      <c r="O6840" s="7"/>
      <c r="P6840" s="7"/>
      <c r="Q6840" s="7"/>
      <c r="R6840" s="7"/>
      <c r="S6840" s="7"/>
      <c r="T6840" s="7"/>
      <c r="U6840" s="7"/>
      <c r="V6840" s="7"/>
      <c r="W6840" s="7"/>
      <c r="X6840" s="7"/>
      <c r="Y6840" s="7"/>
      <c r="Z6840" s="7"/>
    </row>
    <row r="6841">
      <c r="A6841" s="7"/>
      <c r="B6841" s="7"/>
      <c r="C6841" s="7"/>
      <c r="D6841" s="7"/>
      <c r="E6841" s="7"/>
      <c r="F6841" s="7"/>
      <c r="G6841" s="7"/>
      <c r="H6841" s="7"/>
      <c r="I6841" s="7"/>
      <c r="J6841" s="7"/>
      <c r="K6841" s="7"/>
      <c r="L6841" s="7"/>
      <c r="M6841" s="7"/>
      <c r="N6841" s="7"/>
      <c r="O6841" s="7"/>
      <c r="P6841" s="7"/>
      <c r="Q6841" s="7"/>
      <c r="R6841" s="7"/>
      <c r="S6841" s="7"/>
      <c r="T6841" s="7"/>
      <c r="U6841" s="7"/>
      <c r="V6841" s="7"/>
      <c r="W6841" s="7"/>
      <c r="X6841" s="7"/>
      <c r="Y6841" s="7"/>
      <c r="Z6841" s="7"/>
    </row>
    <row r="6842">
      <c r="A6842" s="7"/>
      <c r="B6842" s="7"/>
      <c r="C6842" s="7"/>
      <c r="D6842" s="7"/>
      <c r="E6842" s="7"/>
      <c r="F6842" s="7"/>
      <c r="G6842" s="7"/>
      <c r="H6842" s="7"/>
      <c r="I6842" s="7"/>
      <c r="J6842" s="7"/>
      <c r="K6842" s="7"/>
      <c r="L6842" s="7"/>
      <c r="M6842" s="7"/>
      <c r="N6842" s="7"/>
      <c r="O6842" s="7"/>
      <c r="P6842" s="7"/>
      <c r="Q6842" s="7"/>
      <c r="R6842" s="7"/>
      <c r="S6842" s="7"/>
      <c r="T6842" s="7"/>
      <c r="U6842" s="7"/>
      <c r="V6842" s="7"/>
      <c r="W6842" s="7"/>
      <c r="X6842" s="7"/>
      <c r="Y6842" s="7"/>
      <c r="Z6842" s="7"/>
    </row>
    <row r="6843">
      <c r="A6843" s="7"/>
      <c r="B6843" s="7"/>
      <c r="C6843" s="7"/>
      <c r="D6843" s="7"/>
      <c r="E6843" s="7"/>
      <c r="F6843" s="7"/>
      <c r="G6843" s="7"/>
      <c r="H6843" s="7"/>
      <c r="I6843" s="7"/>
      <c r="J6843" s="7"/>
      <c r="K6843" s="7"/>
      <c r="L6843" s="7"/>
      <c r="M6843" s="7"/>
      <c r="N6843" s="7"/>
      <c r="O6843" s="7"/>
      <c r="P6843" s="7"/>
      <c r="Q6843" s="7"/>
      <c r="R6843" s="7"/>
      <c r="S6843" s="7"/>
      <c r="T6843" s="7"/>
      <c r="U6843" s="7"/>
      <c r="V6843" s="7"/>
      <c r="W6843" s="7"/>
      <c r="X6843" s="7"/>
      <c r="Y6843" s="7"/>
      <c r="Z6843" s="7"/>
    </row>
    <row r="6844">
      <c r="A6844" s="7"/>
      <c r="B6844" s="7"/>
      <c r="C6844" s="7"/>
      <c r="D6844" s="7"/>
      <c r="E6844" s="7"/>
      <c r="F6844" s="7"/>
      <c r="G6844" s="7"/>
      <c r="H6844" s="7"/>
      <c r="I6844" s="7"/>
      <c r="J6844" s="7"/>
      <c r="K6844" s="7"/>
      <c r="L6844" s="7"/>
      <c r="M6844" s="7"/>
      <c r="N6844" s="7"/>
      <c r="O6844" s="7"/>
      <c r="P6844" s="7"/>
      <c r="Q6844" s="7"/>
      <c r="R6844" s="7"/>
      <c r="S6844" s="7"/>
      <c r="T6844" s="7"/>
      <c r="U6844" s="7"/>
      <c r="V6844" s="7"/>
      <c r="W6844" s="7"/>
      <c r="X6844" s="7"/>
      <c r="Y6844" s="7"/>
      <c r="Z6844" s="7"/>
    </row>
    <row r="6845">
      <c r="A6845" s="7"/>
      <c r="B6845" s="7"/>
      <c r="C6845" s="7"/>
      <c r="D6845" s="7"/>
      <c r="E6845" s="7"/>
      <c r="F6845" s="7"/>
      <c r="G6845" s="7"/>
      <c r="H6845" s="7"/>
      <c r="I6845" s="7"/>
      <c r="J6845" s="7"/>
      <c r="K6845" s="7"/>
      <c r="L6845" s="7"/>
      <c r="M6845" s="7"/>
      <c r="N6845" s="7"/>
      <c r="O6845" s="7"/>
      <c r="P6845" s="7"/>
      <c r="Q6845" s="7"/>
      <c r="R6845" s="7"/>
      <c r="S6845" s="7"/>
      <c r="T6845" s="7"/>
      <c r="U6845" s="7"/>
      <c r="V6845" s="7"/>
      <c r="W6845" s="7"/>
      <c r="X6845" s="7"/>
      <c r="Y6845" s="7"/>
      <c r="Z6845" s="7"/>
    </row>
    <row r="6846">
      <c r="A6846" s="7"/>
      <c r="B6846" s="7"/>
      <c r="C6846" s="7"/>
      <c r="D6846" s="7"/>
      <c r="E6846" s="7"/>
      <c r="F6846" s="7"/>
      <c r="G6846" s="7"/>
      <c r="H6846" s="7"/>
      <c r="I6846" s="7"/>
      <c r="J6846" s="7"/>
      <c r="K6846" s="7"/>
      <c r="L6846" s="7"/>
      <c r="M6846" s="7"/>
      <c r="N6846" s="7"/>
      <c r="O6846" s="7"/>
      <c r="P6846" s="7"/>
      <c r="Q6846" s="7"/>
      <c r="R6846" s="7"/>
      <c r="S6846" s="7"/>
      <c r="T6846" s="7"/>
      <c r="U6846" s="7"/>
      <c r="V6846" s="7"/>
      <c r="W6846" s="7"/>
      <c r="X6846" s="7"/>
      <c r="Y6846" s="7"/>
      <c r="Z6846" s="7"/>
    </row>
    <row r="6847">
      <c r="A6847" s="7"/>
      <c r="B6847" s="7"/>
      <c r="C6847" s="7"/>
      <c r="D6847" s="7"/>
      <c r="E6847" s="7"/>
      <c r="F6847" s="7"/>
      <c r="G6847" s="7"/>
      <c r="H6847" s="7"/>
      <c r="I6847" s="7"/>
      <c r="J6847" s="7"/>
      <c r="K6847" s="7"/>
      <c r="L6847" s="7"/>
      <c r="M6847" s="7"/>
      <c r="N6847" s="7"/>
      <c r="O6847" s="7"/>
      <c r="P6847" s="7"/>
      <c r="Q6847" s="7"/>
      <c r="R6847" s="7"/>
      <c r="S6847" s="7"/>
      <c r="T6847" s="7"/>
      <c r="U6847" s="7"/>
      <c r="V6847" s="7"/>
      <c r="W6847" s="7"/>
      <c r="X6847" s="7"/>
      <c r="Y6847" s="7"/>
      <c r="Z6847" s="7"/>
    </row>
    <row r="6848">
      <c r="A6848" s="7"/>
      <c r="B6848" s="7"/>
      <c r="C6848" s="7"/>
      <c r="D6848" s="7"/>
      <c r="E6848" s="7"/>
      <c r="F6848" s="7"/>
      <c r="G6848" s="7"/>
      <c r="H6848" s="7"/>
      <c r="I6848" s="7"/>
      <c r="J6848" s="7"/>
      <c r="K6848" s="7"/>
      <c r="L6848" s="7"/>
      <c r="M6848" s="7"/>
      <c r="N6848" s="7"/>
      <c r="O6848" s="7"/>
      <c r="P6848" s="7"/>
      <c r="Q6848" s="7"/>
      <c r="R6848" s="7"/>
      <c r="S6848" s="7"/>
      <c r="T6848" s="7"/>
      <c r="U6848" s="7"/>
      <c r="V6848" s="7"/>
      <c r="W6848" s="7"/>
      <c r="X6848" s="7"/>
      <c r="Y6848" s="7"/>
      <c r="Z6848" s="7"/>
    </row>
    <row r="6849">
      <c r="A6849" s="7"/>
      <c r="B6849" s="7"/>
      <c r="C6849" s="7"/>
      <c r="D6849" s="7"/>
      <c r="E6849" s="7"/>
      <c r="F6849" s="7"/>
      <c r="G6849" s="7"/>
      <c r="H6849" s="7"/>
      <c r="I6849" s="7"/>
      <c r="J6849" s="7"/>
      <c r="K6849" s="7"/>
      <c r="L6849" s="7"/>
      <c r="M6849" s="7"/>
      <c r="N6849" s="7"/>
      <c r="O6849" s="7"/>
      <c r="P6849" s="7"/>
      <c r="Q6849" s="7"/>
      <c r="R6849" s="7"/>
      <c r="S6849" s="7"/>
      <c r="T6849" s="7"/>
      <c r="U6849" s="7"/>
      <c r="V6849" s="7"/>
      <c r="W6849" s="7"/>
      <c r="X6849" s="7"/>
      <c r="Y6849" s="7"/>
      <c r="Z6849" s="7"/>
    </row>
    <row r="6850">
      <c r="A6850" s="7"/>
      <c r="B6850" s="7"/>
      <c r="C6850" s="7"/>
      <c r="D6850" s="7"/>
      <c r="E6850" s="7"/>
      <c r="F6850" s="7"/>
      <c r="G6850" s="7"/>
      <c r="H6850" s="7"/>
      <c r="I6850" s="7"/>
      <c r="J6850" s="7"/>
      <c r="K6850" s="7"/>
      <c r="L6850" s="7"/>
      <c r="M6850" s="7"/>
      <c r="N6850" s="7"/>
      <c r="O6850" s="7"/>
      <c r="P6850" s="7"/>
      <c r="Q6850" s="7"/>
      <c r="R6850" s="7"/>
      <c r="S6850" s="7"/>
      <c r="T6850" s="7"/>
      <c r="U6850" s="7"/>
      <c r="V6850" s="7"/>
      <c r="W6850" s="7"/>
      <c r="X6850" s="7"/>
      <c r="Y6850" s="7"/>
      <c r="Z6850" s="7"/>
    </row>
    <row r="6851">
      <c r="A6851" s="7"/>
      <c r="B6851" s="7"/>
      <c r="C6851" s="7"/>
      <c r="D6851" s="7"/>
      <c r="E6851" s="7"/>
      <c r="F6851" s="7"/>
      <c r="G6851" s="7"/>
      <c r="H6851" s="7"/>
      <c r="I6851" s="7"/>
      <c r="J6851" s="7"/>
      <c r="K6851" s="7"/>
      <c r="L6851" s="7"/>
      <c r="M6851" s="7"/>
      <c r="N6851" s="7"/>
      <c r="O6851" s="7"/>
      <c r="P6851" s="7"/>
      <c r="Q6851" s="7"/>
      <c r="R6851" s="7"/>
      <c r="S6851" s="7"/>
      <c r="T6851" s="7"/>
      <c r="U6851" s="7"/>
      <c r="V6851" s="7"/>
      <c r="W6851" s="7"/>
      <c r="X6851" s="7"/>
      <c r="Y6851" s="7"/>
      <c r="Z6851" s="7"/>
    </row>
    <row r="6852">
      <c r="A6852" s="7"/>
      <c r="B6852" s="7"/>
      <c r="C6852" s="7"/>
      <c r="D6852" s="7"/>
      <c r="E6852" s="7"/>
      <c r="F6852" s="7"/>
      <c r="G6852" s="7"/>
      <c r="H6852" s="7"/>
      <c r="I6852" s="7"/>
      <c r="J6852" s="7"/>
      <c r="K6852" s="7"/>
      <c r="L6852" s="7"/>
      <c r="M6852" s="7"/>
      <c r="N6852" s="7"/>
      <c r="O6852" s="7"/>
      <c r="P6852" s="7"/>
      <c r="Q6852" s="7"/>
      <c r="R6852" s="7"/>
      <c r="S6852" s="7"/>
      <c r="T6852" s="7"/>
      <c r="U6852" s="7"/>
      <c r="V6852" s="7"/>
      <c r="W6852" s="7"/>
      <c r="X6852" s="7"/>
      <c r="Y6852" s="7"/>
      <c r="Z6852" s="7"/>
    </row>
    <row r="6853">
      <c r="A6853" s="7"/>
      <c r="B6853" s="7"/>
      <c r="C6853" s="7"/>
      <c r="D6853" s="7"/>
      <c r="E6853" s="7"/>
      <c r="F6853" s="7"/>
      <c r="G6853" s="7"/>
      <c r="H6853" s="7"/>
      <c r="I6853" s="7"/>
      <c r="J6853" s="7"/>
      <c r="K6853" s="7"/>
      <c r="L6853" s="7"/>
      <c r="M6853" s="7"/>
      <c r="N6853" s="7"/>
      <c r="O6853" s="7"/>
      <c r="P6853" s="7"/>
      <c r="Q6853" s="7"/>
      <c r="R6853" s="7"/>
      <c r="S6853" s="7"/>
      <c r="T6853" s="7"/>
      <c r="U6853" s="7"/>
      <c r="V6853" s="7"/>
      <c r="W6853" s="7"/>
      <c r="X6853" s="7"/>
      <c r="Y6853" s="7"/>
      <c r="Z6853" s="7"/>
    </row>
    <row r="6854">
      <c r="A6854" s="7"/>
      <c r="B6854" s="7"/>
      <c r="C6854" s="7"/>
      <c r="D6854" s="7"/>
      <c r="E6854" s="7"/>
      <c r="F6854" s="7"/>
      <c r="G6854" s="7"/>
      <c r="H6854" s="7"/>
      <c r="I6854" s="7"/>
      <c r="J6854" s="7"/>
      <c r="K6854" s="7"/>
      <c r="L6854" s="7"/>
      <c r="M6854" s="7"/>
      <c r="N6854" s="7"/>
      <c r="O6854" s="7"/>
      <c r="P6854" s="7"/>
      <c r="Q6854" s="7"/>
      <c r="R6854" s="7"/>
      <c r="S6854" s="7"/>
      <c r="T6854" s="7"/>
      <c r="U6854" s="7"/>
      <c r="V6854" s="7"/>
      <c r="W6854" s="7"/>
      <c r="X6854" s="7"/>
      <c r="Y6854" s="7"/>
      <c r="Z6854" s="7"/>
    </row>
    <row r="6855">
      <c r="A6855" s="7"/>
      <c r="B6855" s="7"/>
      <c r="C6855" s="7"/>
      <c r="D6855" s="7"/>
      <c r="E6855" s="7"/>
      <c r="F6855" s="7"/>
      <c r="G6855" s="7"/>
      <c r="H6855" s="7"/>
      <c r="I6855" s="7"/>
      <c r="J6855" s="7"/>
      <c r="K6855" s="7"/>
      <c r="L6855" s="7"/>
      <c r="M6855" s="7"/>
      <c r="N6855" s="7"/>
      <c r="O6855" s="7"/>
      <c r="P6855" s="7"/>
      <c r="Q6855" s="7"/>
      <c r="R6855" s="7"/>
      <c r="S6855" s="7"/>
      <c r="T6855" s="7"/>
      <c r="U6855" s="7"/>
      <c r="V6855" s="7"/>
      <c r="W6855" s="7"/>
      <c r="X6855" s="7"/>
      <c r="Y6855" s="7"/>
      <c r="Z6855" s="7"/>
    </row>
    <row r="6856">
      <c r="A6856" s="7"/>
      <c r="B6856" s="7"/>
      <c r="C6856" s="7"/>
      <c r="D6856" s="7"/>
      <c r="E6856" s="7"/>
      <c r="F6856" s="7"/>
      <c r="G6856" s="7"/>
      <c r="H6856" s="7"/>
      <c r="I6856" s="7"/>
      <c r="J6856" s="7"/>
      <c r="K6856" s="7"/>
      <c r="L6856" s="7"/>
      <c r="M6856" s="7"/>
      <c r="N6856" s="7"/>
      <c r="O6856" s="7"/>
      <c r="P6856" s="7"/>
      <c r="Q6856" s="7"/>
      <c r="R6856" s="7"/>
      <c r="S6856" s="7"/>
      <c r="T6856" s="7"/>
      <c r="U6856" s="7"/>
      <c r="V6856" s="7"/>
      <c r="W6856" s="7"/>
      <c r="X6856" s="7"/>
      <c r="Y6856" s="7"/>
      <c r="Z6856" s="7"/>
    </row>
    <row r="6857">
      <c r="A6857" s="7"/>
      <c r="B6857" s="7"/>
      <c r="C6857" s="7"/>
      <c r="D6857" s="7"/>
      <c r="E6857" s="7"/>
      <c r="F6857" s="7"/>
      <c r="G6857" s="7"/>
      <c r="H6857" s="7"/>
      <c r="I6857" s="7"/>
      <c r="J6857" s="7"/>
      <c r="K6857" s="7"/>
      <c r="L6857" s="7"/>
      <c r="M6857" s="7"/>
      <c r="N6857" s="7"/>
      <c r="O6857" s="7"/>
      <c r="P6857" s="7"/>
      <c r="Q6857" s="7"/>
      <c r="R6857" s="7"/>
      <c r="S6857" s="7"/>
      <c r="T6857" s="7"/>
      <c r="U6857" s="7"/>
      <c r="V6857" s="7"/>
      <c r="W6857" s="7"/>
      <c r="X6857" s="7"/>
      <c r="Y6857" s="7"/>
      <c r="Z6857" s="7"/>
    </row>
    <row r="6858">
      <c r="A6858" s="7"/>
      <c r="B6858" s="7"/>
      <c r="C6858" s="7"/>
      <c r="D6858" s="7"/>
      <c r="E6858" s="7"/>
      <c r="F6858" s="7"/>
      <c r="G6858" s="7"/>
      <c r="H6858" s="7"/>
      <c r="I6858" s="7"/>
      <c r="J6858" s="7"/>
      <c r="K6858" s="7"/>
      <c r="L6858" s="7"/>
      <c r="M6858" s="7"/>
      <c r="N6858" s="7"/>
      <c r="O6858" s="7"/>
      <c r="P6858" s="7"/>
      <c r="Q6858" s="7"/>
      <c r="R6858" s="7"/>
      <c r="S6858" s="7"/>
      <c r="T6858" s="7"/>
      <c r="U6858" s="7"/>
      <c r="V6858" s="7"/>
      <c r="W6858" s="7"/>
      <c r="X6858" s="7"/>
      <c r="Y6858" s="7"/>
      <c r="Z6858" s="7"/>
    </row>
    <row r="6859">
      <c r="A6859" s="7"/>
      <c r="B6859" s="7"/>
      <c r="C6859" s="7"/>
      <c r="D6859" s="7"/>
      <c r="E6859" s="7"/>
      <c r="F6859" s="7"/>
      <c r="G6859" s="7"/>
      <c r="H6859" s="7"/>
      <c r="I6859" s="7"/>
      <c r="J6859" s="7"/>
      <c r="K6859" s="7"/>
      <c r="L6859" s="7"/>
      <c r="M6859" s="7"/>
      <c r="N6859" s="7"/>
      <c r="O6859" s="7"/>
      <c r="P6859" s="7"/>
      <c r="Q6859" s="7"/>
      <c r="R6859" s="7"/>
      <c r="S6859" s="7"/>
      <c r="T6859" s="7"/>
      <c r="U6859" s="7"/>
      <c r="V6859" s="7"/>
      <c r="W6859" s="7"/>
      <c r="X6859" s="7"/>
      <c r="Y6859" s="7"/>
      <c r="Z6859" s="7"/>
    </row>
    <row r="6860">
      <c r="A6860" s="7"/>
      <c r="B6860" s="7"/>
      <c r="C6860" s="7"/>
      <c r="D6860" s="7"/>
      <c r="E6860" s="7"/>
      <c r="F6860" s="7"/>
      <c r="G6860" s="7"/>
      <c r="H6860" s="7"/>
      <c r="I6860" s="7"/>
      <c r="J6860" s="7"/>
      <c r="K6860" s="7"/>
      <c r="L6860" s="7"/>
      <c r="M6860" s="7"/>
      <c r="N6860" s="7"/>
      <c r="O6860" s="7"/>
      <c r="P6860" s="7"/>
      <c r="Q6860" s="7"/>
      <c r="R6860" s="7"/>
      <c r="S6860" s="7"/>
      <c r="T6860" s="7"/>
      <c r="U6860" s="7"/>
      <c r="V6860" s="7"/>
      <c r="W6860" s="7"/>
      <c r="X6860" s="7"/>
      <c r="Y6860" s="7"/>
      <c r="Z6860" s="7"/>
    </row>
    <row r="6861">
      <c r="A6861" s="7"/>
      <c r="B6861" s="7"/>
      <c r="C6861" s="7"/>
      <c r="D6861" s="7"/>
      <c r="E6861" s="7"/>
      <c r="F6861" s="7"/>
      <c r="G6861" s="7"/>
      <c r="H6861" s="7"/>
      <c r="I6861" s="7"/>
      <c r="J6861" s="7"/>
      <c r="K6861" s="7"/>
      <c r="L6861" s="7"/>
      <c r="M6861" s="7"/>
      <c r="N6861" s="7"/>
      <c r="O6861" s="7"/>
      <c r="P6861" s="7"/>
      <c r="Q6861" s="7"/>
      <c r="R6861" s="7"/>
      <c r="S6861" s="7"/>
      <c r="T6861" s="7"/>
      <c r="U6861" s="7"/>
      <c r="V6861" s="7"/>
      <c r="W6861" s="7"/>
      <c r="X6861" s="7"/>
      <c r="Y6861" s="7"/>
      <c r="Z6861" s="7"/>
    </row>
    <row r="6862">
      <c r="A6862" s="7"/>
      <c r="B6862" s="7"/>
      <c r="C6862" s="7"/>
      <c r="D6862" s="7"/>
      <c r="E6862" s="7"/>
      <c r="F6862" s="7"/>
      <c r="G6862" s="7"/>
      <c r="H6862" s="7"/>
      <c r="I6862" s="7"/>
      <c r="J6862" s="7"/>
      <c r="K6862" s="7"/>
      <c r="L6862" s="7"/>
      <c r="M6862" s="7"/>
      <c r="N6862" s="7"/>
      <c r="O6862" s="7"/>
      <c r="P6862" s="7"/>
      <c r="Q6862" s="7"/>
      <c r="R6862" s="7"/>
      <c r="S6862" s="7"/>
      <c r="T6862" s="7"/>
      <c r="U6862" s="7"/>
      <c r="V6862" s="7"/>
      <c r="W6862" s="7"/>
      <c r="X6862" s="7"/>
      <c r="Y6862" s="7"/>
      <c r="Z6862" s="7"/>
    </row>
    <row r="6863">
      <c r="A6863" s="7"/>
      <c r="B6863" s="7"/>
      <c r="C6863" s="7"/>
      <c r="D6863" s="7"/>
      <c r="E6863" s="7"/>
      <c r="F6863" s="7"/>
      <c r="G6863" s="7"/>
      <c r="H6863" s="7"/>
      <c r="I6863" s="7"/>
      <c r="J6863" s="7"/>
      <c r="K6863" s="7"/>
      <c r="L6863" s="7"/>
      <c r="M6863" s="7"/>
      <c r="N6863" s="7"/>
      <c r="O6863" s="7"/>
      <c r="P6863" s="7"/>
      <c r="Q6863" s="7"/>
      <c r="R6863" s="7"/>
      <c r="S6863" s="7"/>
      <c r="T6863" s="7"/>
      <c r="U6863" s="7"/>
      <c r="V6863" s="7"/>
      <c r="W6863" s="7"/>
      <c r="X6863" s="7"/>
      <c r="Y6863" s="7"/>
      <c r="Z6863" s="7"/>
    </row>
    <row r="6864">
      <c r="A6864" s="7"/>
      <c r="B6864" s="7"/>
      <c r="C6864" s="7"/>
      <c r="D6864" s="7"/>
      <c r="E6864" s="7"/>
      <c r="F6864" s="7"/>
      <c r="G6864" s="7"/>
      <c r="H6864" s="7"/>
      <c r="I6864" s="7"/>
      <c r="J6864" s="7"/>
      <c r="K6864" s="7"/>
      <c r="L6864" s="7"/>
      <c r="M6864" s="7"/>
      <c r="N6864" s="7"/>
      <c r="O6864" s="7"/>
      <c r="P6864" s="7"/>
      <c r="Q6864" s="7"/>
      <c r="R6864" s="7"/>
      <c r="S6864" s="7"/>
      <c r="T6864" s="7"/>
      <c r="U6864" s="7"/>
      <c r="V6864" s="7"/>
      <c r="W6864" s="7"/>
      <c r="X6864" s="7"/>
      <c r="Y6864" s="7"/>
      <c r="Z6864" s="7"/>
    </row>
    <row r="6865">
      <c r="A6865" s="7"/>
      <c r="B6865" s="7"/>
      <c r="C6865" s="7"/>
      <c r="D6865" s="7"/>
      <c r="E6865" s="7"/>
      <c r="F6865" s="7"/>
      <c r="G6865" s="7"/>
      <c r="H6865" s="7"/>
      <c r="I6865" s="7"/>
      <c r="J6865" s="7"/>
      <c r="K6865" s="7"/>
      <c r="L6865" s="7"/>
      <c r="M6865" s="7"/>
      <c r="N6865" s="7"/>
      <c r="O6865" s="7"/>
      <c r="P6865" s="7"/>
      <c r="Q6865" s="7"/>
      <c r="R6865" s="7"/>
      <c r="S6865" s="7"/>
      <c r="T6865" s="7"/>
      <c r="U6865" s="7"/>
      <c r="V6865" s="7"/>
      <c r="W6865" s="7"/>
      <c r="X6865" s="7"/>
      <c r="Y6865" s="7"/>
      <c r="Z6865" s="7"/>
    </row>
    <row r="6866">
      <c r="A6866" s="7"/>
      <c r="B6866" s="7"/>
      <c r="C6866" s="7"/>
      <c r="D6866" s="7"/>
      <c r="E6866" s="7"/>
      <c r="F6866" s="7"/>
      <c r="G6866" s="7"/>
      <c r="H6866" s="7"/>
      <c r="I6866" s="7"/>
      <c r="J6866" s="7"/>
      <c r="K6866" s="7"/>
      <c r="L6866" s="7"/>
      <c r="M6866" s="7"/>
      <c r="N6866" s="7"/>
      <c r="O6866" s="7"/>
      <c r="P6866" s="7"/>
      <c r="Q6866" s="7"/>
      <c r="R6866" s="7"/>
      <c r="S6866" s="7"/>
      <c r="T6866" s="7"/>
      <c r="U6866" s="7"/>
      <c r="V6866" s="7"/>
      <c r="W6866" s="7"/>
      <c r="X6866" s="7"/>
      <c r="Y6866" s="7"/>
      <c r="Z6866" s="7"/>
    </row>
    <row r="6867">
      <c r="A6867" s="7"/>
      <c r="B6867" s="7"/>
      <c r="C6867" s="7"/>
      <c r="D6867" s="7"/>
      <c r="E6867" s="7"/>
      <c r="F6867" s="7"/>
      <c r="G6867" s="7"/>
      <c r="H6867" s="7"/>
      <c r="I6867" s="7"/>
      <c r="J6867" s="7"/>
      <c r="K6867" s="7"/>
      <c r="L6867" s="7"/>
      <c r="M6867" s="7"/>
      <c r="N6867" s="7"/>
      <c r="O6867" s="7"/>
      <c r="P6867" s="7"/>
      <c r="Q6867" s="7"/>
      <c r="R6867" s="7"/>
      <c r="S6867" s="7"/>
      <c r="T6867" s="7"/>
      <c r="U6867" s="7"/>
      <c r="V6867" s="7"/>
      <c r="W6867" s="7"/>
      <c r="X6867" s="7"/>
      <c r="Y6867" s="7"/>
      <c r="Z6867" s="7"/>
    </row>
    <row r="6868">
      <c r="A6868" s="7"/>
      <c r="B6868" s="7"/>
      <c r="C6868" s="7"/>
      <c r="D6868" s="7"/>
      <c r="E6868" s="7"/>
      <c r="F6868" s="7"/>
      <c r="G6868" s="7"/>
      <c r="H6868" s="7"/>
      <c r="I6868" s="7"/>
      <c r="J6868" s="7"/>
      <c r="K6868" s="7"/>
      <c r="L6868" s="7"/>
      <c r="M6868" s="7"/>
      <c r="N6868" s="7"/>
      <c r="O6868" s="7"/>
      <c r="P6868" s="7"/>
      <c r="Q6868" s="7"/>
      <c r="R6868" s="7"/>
      <c r="S6868" s="7"/>
      <c r="T6868" s="7"/>
      <c r="U6868" s="7"/>
      <c r="V6868" s="7"/>
      <c r="W6868" s="7"/>
      <c r="X6868" s="7"/>
      <c r="Y6868" s="7"/>
      <c r="Z6868" s="7"/>
    </row>
    <row r="6869">
      <c r="A6869" s="7"/>
      <c r="B6869" s="7"/>
      <c r="C6869" s="7"/>
      <c r="D6869" s="7"/>
      <c r="E6869" s="7"/>
      <c r="F6869" s="7"/>
      <c r="G6869" s="7"/>
      <c r="H6869" s="7"/>
      <c r="I6869" s="7"/>
      <c r="J6869" s="7"/>
      <c r="K6869" s="7"/>
      <c r="L6869" s="7"/>
      <c r="M6869" s="7"/>
      <c r="N6869" s="7"/>
      <c r="O6869" s="7"/>
      <c r="P6869" s="7"/>
      <c r="Q6869" s="7"/>
      <c r="R6869" s="7"/>
      <c r="S6869" s="7"/>
      <c r="T6869" s="7"/>
      <c r="U6869" s="7"/>
      <c r="V6869" s="7"/>
      <c r="W6869" s="7"/>
      <c r="X6869" s="7"/>
      <c r="Y6869" s="7"/>
      <c r="Z6869" s="7"/>
    </row>
    <row r="6870">
      <c r="A6870" s="7"/>
      <c r="B6870" s="7"/>
      <c r="C6870" s="7"/>
      <c r="D6870" s="7"/>
      <c r="E6870" s="7"/>
      <c r="F6870" s="7"/>
      <c r="G6870" s="7"/>
      <c r="H6870" s="7"/>
      <c r="I6870" s="7"/>
      <c r="J6870" s="7"/>
      <c r="K6870" s="7"/>
      <c r="L6870" s="7"/>
      <c r="M6870" s="7"/>
      <c r="N6870" s="7"/>
      <c r="O6870" s="7"/>
      <c r="P6870" s="7"/>
      <c r="Q6870" s="7"/>
      <c r="R6870" s="7"/>
      <c r="S6870" s="7"/>
      <c r="T6870" s="7"/>
      <c r="U6870" s="7"/>
      <c r="V6870" s="7"/>
      <c r="W6870" s="7"/>
      <c r="X6870" s="7"/>
      <c r="Y6870" s="7"/>
      <c r="Z6870" s="7"/>
    </row>
    <row r="6871">
      <c r="A6871" s="7"/>
      <c r="B6871" s="7"/>
      <c r="C6871" s="7"/>
      <c r="D6871" s="7"/>
      <c r="E6871" s="7"/>
      <c r="F6871" s="7"/>
      <c r="G6871" s="7"/>
      <c r="H6871" s="7"/>
      <c r="I6871" s="7"/>
      <c r="J6871" s="7"/>
      <c r="K6871" s="7"/>
      <c r="L6871" s="7"/>
      <c r="M6871" s="7"/>
      <c r="N6871" s="7"/>
      <c r="O6871" s="7"/>
      <c r="P6871" s="7"/>
      <c r="Q6871" s="7"/>
      <c r="R6871" s="7"/>
      <c r="S6871" s="7"/>
      <c r="T6871" s="7"/>
      <c r="U6871" s="7"/>
      <c r="V6871" s="7"/>
      <c r="W6871" s="7"/>
      <c r="X6871" s="7"/>
      <c r="Y6871" s="7"/>
      <c r="Z6871" s="7"/>
    </row>
    <row r="6872">
      <c r="A6872" s="7"/>
      <c r="B6872" s="7"/>
      <c r="C6872" s="7"/>
      <c r="D6872" s="7"/>
      <c r="E6872" s="7"/>
      <c r="F6872" s="7"/>
      <c r="G6872" s="7"/>
      <c r="H6872" s="7"/>
      <c r="I6872" s="7"/>
      <c r="J6872" s="7"/>
      <c r="K6872" s="7"/>
      <c r="L6872" s="7"/>
      <c r="M6872" s="7"/>
      <c r="N6872" s="7"/>
      <c r="O6872" s="7"/>
      <c r="P6872" s="7"/>
      <c r="Q6872" s="7"/>
      <c r="R6872" s="7"/>
      <c r="S6872" s="7"/>
      <c r="T6872" s="7"/>
      <c r="U6872" s="7"/>
      <c r="V6872" s="7"/>
      <c r="W6872" s="7"/>
      <c r="X6872" s="7"/>
      <c r="Y6872" s="7"/>
      <c r="Z6872" s="7"/>
    </row>
    <row r="6873">
      <c r="A6873" s="7"/>
      <c r="B6873" s="7"/>
      <c r="C6873" s="7"/>
      <c r="D6873" s="7"/>
      <c r="E6873" s="7"/>
      <c r="F6873" s="7"/>
      <c r="G6873" s="7"/>
      <c r="H6873" s="7"/>
      <c r="I6873" s="7"/>
      <c r="J6873" s="7"/>
      <c r="K6873" s="7"/>
      <c r="L6873" s="7"/>
      <c r="M6873" s="7"/>
      <c r="N6873" s="7"/>
      <c r="O6873" s="7"/>
      <c r="P6873" s="7"/>
      <c r="Q6873" s="7"/>
      <c r="R6873" s="7"/>
      <c r="S6873" s="7"/>
      <c r="T6873" s="7"/>
      <c r="U6873" s="7"/>
      <c r="V6873" s="7"/>
      <c r="W6873" s="7"/>
      <c r="X6873" s="7"/>
      <c r="Y6873" s="7"/>
      <c r="Z6873" s="7"/>
    </row>
    <row r="6874">
      <c r="A6874" s="7"/>
      <c r="B6874" s="7"/>
      <c r="C6874" s="7"/>
      <c r="D6874" s="7"/>
      <c r="E6874" s="7"/>
      <c r="F6874" s="7"/>
      <c r="G6874" s="7"/>
      <c r="H6874" s="7"/>
      <c r="I6874" s="7"/>
      <c r="J6874" s="7"/>
      <c r="K6874" s="7"/>
      <c r="L6874" s="7"/>
      <c r="M6874" s="7"/>
      <c r="N6874" s="7"/>
      <c r="O6874" s="7"/>
      <c r="P6874" s="7"/>
      <c r="Q6874" s="7"/>
      <c r="R6874" s="7"/>
      <c r="S6874" s="7"/>
      <c r="T6874" s="7"/>
      <c r="U6874" s="7"/>
      <c r="V6874" s="7"/>
      <c r="W6874" s="7"/>
      <c r="X6874" s="7"/>
      <c r="Y6874" s="7"/>
      <c r="Z6874" s="7"/>
    </row>
    <row r="6875">
      <c r="A6875" s="7"/>
      <c r="B6875" s="7"/>
      <c r="C6875" s="7"/>
      <c r="D6875" s="7"/>
      <c r="E6875" s="7"/>
      <c r="F6875" s="7"/>
      <c r="G6875" s="7"/>
      <c r="H6875" s="7"/>
      <c r="I6875" s="7"/>
      <c r="J6875" s="7"/>
      <c r="K6875" s="7"/>
      <c r="L6875" s="7"/>
      <c r="M6875" s="7"/>
      <c r="N6875" s="7"/>
      <c r="O6875" s="7"/>
      <c r="P6875" s="7"/>
      <c r="Q6875" s="7"/>
      <c r="R6875" s="7"/>
      <c r="S6875" s="7"/>
      <c r="T6875" s="7"/>
      <c r="U6875" s="7"/>
      <c r="V6875" s="7"/>
      <c r="W6875" s="7"/>
      <c r="X6875" s="7"/>
      <c r="Y6875" s="7"/>
      <c r="Z6875" s="7"/>
    </row>
    <row r="6876">
      <c r="A6876" s="7"/>
      <c r="B6876" s="7"/>
      <c r="C6876" s="7"/>
      <c r="D6876" s="7"/>
      <c r="E6876" s="7"/>
      <c r="F6876" s="7"/>
      <c r="G6876" s="7"/>
      <c r="H6876" s="7"/>
      <c r="I6876" s="7"/>
      <c r="J6876" s="7"/>
      <c r="K6876" s="7"/>
      <c r="L6876" s="7"/>
      <c r="M6876" s="7"/>
      <c r="N6876" s="7"/>
      <c r="O6876" s="7"/>
      <c r="P6876" s="7"/>
      <c r="Q6876" s="7"/>
      <c r="R6876" s="7"/>
      <c r="S6876" s="7"/>
      <c r="T6876" s="7"/>
      <c r="U6876" s="7"/>
      <c r="V6876" s="7"/>
      <c r="W6876" s="7"/>
      <c r="X6876" s="7"/>
      <c r="Y6876" s="7"/>
      <c r="Z6876" s="7"/>
    </row>
    <row r="6877">
      <c r="A6877" s="7"/>
      <c r="B6877" s="7"/>
      <c r="C6877" s="7"/>
      <c r="D6877" s="7"/>
      <c r="E6877" s="7"/>
      <c r="F6877" s="7"/>
      <c r="G6877" s="7"/>
      <c r="H6877" s="7"/>
      <c r="I6877" s="7"/>
      <c r="J6877" s="7"/>
      <c r="K6877" s="7"/>
      <c r="L6877" s="7"/>
      <c r="M6877" s="7"/>
      <c r="N6877" s="7"/>
      <c r="O6877" s="7"/>
      <c r="P6877" s="7"/>
      <c r="Q6877" s="7"/>
      <c r="R6877" s="7"/>
      <c r="S6877" s="7"/>
      <c r="T6877" s="7"/>
      <c r="U6877" s="7"/>
      <c r="V6877" s="7"/>
      <c r="W6877" s="7"/>
      <c r="X6877" s="7"/>
      <c r="Y6877" s="7"/>
      <c r="Z6877" s="7"/>
    </row>
    <row r="6878">
      <c r="A6878" s="7"/>
      <c r="B6878" s="7"/>
      <c r="C6878" s="7"/>
      <c r="D6878" s="7"/>
      <c r="E6878" s="7"/>
      <c r="F6878" s="7"/>
      <c r="G6878" s="7"/>
      <c r="H6878" s="7"/>
      <c r="I6878" s="7"/>
      <c r="J6878" s="7"/>
      <c r="K6878" s="7"/>
      <c r="L6878" s="7"/>
      <c r="M6878" s="7"/>
      <c r="N6878" s="7"/>
      <c r="O6878" s="7"/>
      <c r="P6878" s="7"/>
      <c r="Q6878" s="7"/>
      <c r="R6878" s="7"/>
      <c r="S6878" s="7"/>
      <c r="T6878" s="7"/>
      <c r="U6878" s="7"/>
      <c r="V6878" s="7"/>
      <c r="W6878" s="7"/>
      <c r="X6878" s="7"/>
      <c r="Y6878" s="7"/>
      <c r="Z6878" s="7"/>
    </row>
    <row r="6879">
      <c r="A6879" s="7"/>
      <c r="B6879" s="7"/>
      <c r="C6879" s="7"/>
      <c r="D6879" s="7"/>
      <c r="E6879" s="7"/>
      <c r="F6879" s="7"/>
      <c r="G6879" s="7"/>
      <c r="H6879" s="7"/>
      <c r="I6879" s="7"/>
      <c r="J6879" s="7"/>
      <c r="K6879" s="7"/>
      <c r="L6879" s="7"/>
      <c r="M6879" s="7"/>
      <c r="N6879" s="7"/>
      <c r="O6879" s="7"/>
      <c r="P6879" s="7"/>
      <c r="Q6879" s="7"/>
      <c r="R6879" s="7"/>
      <c r="S6879" s="7"/>
      <c r="T6879" s="7"/>
      <c r="U6879" s="7"/>
      <c r="V6879" s="7"/>
      <c r="W6879" s="7"/>
      <c r="X6879" s="7"/>
      <c r="Y6879" s="7"/>
      <c r="Z6879" s="7"/>
    </row>
    <row r="6880">
      <c r="A6880" s="7"/>
      <c r="B6880" s="7"/>
      <c r="C6880" s="7"/>
      <c r="D6880" s="7"/>
      <c r="E6880" s="7"/>
      <c r="F6880" s="7"/>
      <c r="G6880" s="7"/>
      <c r="H6880" s="7"/>
      <c r="I6880" s="7"/>
      <c r="J6880" s="7"/>
      <c r="K6880" s="7"/>
      <c r="L6880" s="7"/>
      <c r="M6880" s="7"/>
      <c r="N6880" s="7"/>
      <c r="O6880" s="7"/>
      <c r="P6880" s="7"/>
      <c r="Q6880" s="7"/>
      <c r="R6880" s="7"/>
      <c r="S6880" s="7"/>
      <c r="T6880" s="7"/>
      <c r="U6880" s="7"/>
      <c r="V6880" s="7"/>
      <c r="W6880" s="7"/>
      <c r="X6880" s="7"/>
      <c r="Y6880" s="7"/>
      <c r="Z6880" s="7"/>
    </row>
    <row r="6881">
      <c r="A6881" s="7"/>
      <c r="B6881" s="7"/>
      <c r="C6881" s="7"/>
      <c r="D6881" s="7"/>
      <c r="E6881" s="7"/>
      <c r="F6881" s="7"/>
      <c r="G6881" s="7"/>
      <c r="H6881" s="7"/>
      <c r="I6881" s="7"/>
      <c r="J6881" s="7"/>
      <c r="K6881" s="7"/>
      <c r="L6881" s="7"/>
      <c r="M6881" s="7"/>
      <c r="N6881" s="7"/>
      <c r="O6881" s="7"/>
      <c r="P6881" s="7"/>
      <c r="Q6881" s="7"/>
      <c r="R6881" s="7"/>
      <c r="S6881" s="7"/>
      <c r="T6881" s="7"/>
      <c r="U6881" s="7"/>
      <c r="V6881" s="7"/>
      <c r="W6881" s="7"/>
      <c r="X6881" s="7"/>
      <c r="Y6881" s="7"/>
      <c r="Z6881" s="7"/>
    </row>
    <row r="6882">
      <c r="A6882" s="7"/>
      <c r="B6882" s="7"/>
      <c r="C6882" s="7"/>
      <c r="D6882" s="7"/>
      <c r="E6882" s="7"/>
      <c r="F6882" s="7"/>
      <c r="G6882" s="7"/>
      <c r="H6882" s="7"/>
      <c r="I6882" s="7"/>
      <c r="J6882" s="7"/>
      <c r="K6882" s="7"/>
      <c r="L6882" s="7"/>
      <c r="M6882" s="7"/>
      <c r="N6882" s="7"/>
      <c r="O6882" s="7"/>
      <c r="P6882" s="7"/>
      <c r="Q6882" s="7"/>
      <c r="R6882" s="7"/>
      <c r="S6882" s="7"/>
      <c r="T6882" s="7"/>
      <c r="U6882" s="7"/>
      <c r="V6882" s="7"/>
      <c r="W6882" s="7"/>
      <c r="X6882" s="7"/>
      <c r="Y6882" s="7"/>
      <c r="Z6882" s="7"/>
    </row>
    <row r="6883">
      <c r="A6883" s="7"/>
      <c r="B6883" s="7"/>
      <c r="C6883" s="7"/>
      <c r="D6883" s="7"/>
      <c r="E6883" s="7"/>
      <c r="F6883" s="7"/>
      <c r="G6883" s="7"/>
      <c r="H6883" s="7"/>
      <c r="I6883" s="7"/>
      <c r="J6883" s="7"/>
      <c r="K6883" s="7"/>
      <c r="L6883" s="7"/>
      <c r="M6883" s="7"/>
      <c r="N6883" s="7"/>
      <c r="O6883" s="7"/>
      <c r="P6883" s="7"/>
      <c r="Q6883" s="7"/>
      <c r="R6883" s="7"/>
      <c r="S6883" s="7"/>
      <c r="T6883" s="7"/>
      <c r="U6883" s="7"/>
      <c r="V6883" s="7"/>
      <c r="W6883" s="7"/>
      <c r="X6883" s="7"/>
      <c r="Y6883" s="7"/>
      <c r="Z6883" s="7"/>
    </row>
    <row r="6884">
      <c r="A6884" s="7"/>
      <c r="B6884" s="7"/>
      <c r="C6884" s="7"/>
      <c r="D6884" s="7"/>
      <c r="E6884" s="7"/>
      <c r="F6884" s="7"/>
      <c r="G6884" s="7"/>
      <c r="H6884" s="7"/>
      <c r="I6884" s="7"/>
      <c r="J6884" s="7"/>
      <c r="K6884" s="7"/>
      <c r="L6884" s="7"/>
      <c r="M6884" s="7"/>
      <c r="N6884" s="7"/>
      <c r="O6884" s="7"/>
      <c r="P6884" s="7"/>
      <c r="Q6884" s="7"/>
      <c r="R6884" s="7"/>
      <c r="S6884" s="7"/>
      <c r="T6884" s="7"/>
      <c r="U6884" s="7"/>
      <c r="V6884" s="7"/>
      <c r="W6884" s="7"/>
      <c r="X6884" s="7"/>
      <c r="Y6884" s="7"/>
      <c r="Z6884" s="7"/>
    </row>
    <row r="6885">
      <c r="A6885" s="7"/>
      <c r="B6885" s="7"/>
      <c r="C6885" s="7"/>
      <c r="D6885" s="7"/>
      <c r="E6885" s="7"/>
      <c r="F6885" s="7"/>
      <c r="G6885" s="7"/>
      <c r="H6885" s="7"/>
      <c r="I6885" s="7"/>
      <c r="J6885" s="7"/>
      <c r="K6885" s="7"/>
      <c r="L6885" s="7"/>
      <c r="M6885" s="7"/>
      <c r="N6885" s="7"/>
      <c r="O6885" s="7"/>
      <c r="P6885" s="7"/>
      <c r="Q6885" s="7"/>
      <c r="R6885" s="7"/>
      <c r="S6885" s="7"/>
      <c r="T6885" s="7"/>
      <c r="U6885" s="7"/>
      <c r="V6885" s="7"/>
      <c r="W6885" s="7"/>
      <c r="X6885" s="7"/>
      <c r="Y6885" s="7"/>
      <c r="Z6885" s="7"/>
    </row>
    <row r="6886">
      <c r="A6886" s="7"/>
      <c r="B6886" s="7"/>
      <c r="C6886" s="7"/>
      <c r="D6886" s="7"/>
      <c r="E6886" s="7"/>
      <c r="F6886" s="7"/>
      <c r="G6886" s="7"/>
      <c r="H6886" s="7"/>
      <c r="I6886" s="7"/>
      <c r="J6886" s="7"/>
      <c r="K6886" s="7"/>
      <c r="L6886" s="7"/>
      <c r="M6886" s="7"/>
      <c r="N6886" s="7"/>
      <c r="O6886" s="7"/>
      <c r="P6886" s="7"/>
      <c r="Q6886" s="7"/>
      <c r="R6886" s="7"/>
      <c r="S6886" s="7"/>
      <c r="T6886" s="7"/>
      <c r="U6886" s="7"/>
      <c r="V6886" s="7"/>
      <c r="W6886" s="7"/>
      <c r="X6886" s="7"/>
      <c r="Y6886" s="7"/>
      <c r="Z6886" s="7"/>
    </row>
    <row r="6887">
      <c r="A6887" s="7"/>
      <c r="B6887" s="7"/>
      <c r="C6887" s="7"/>
      <c r="D6887" s="7"/>
      <c r="E6887" s="7"/>
      <c r="F6887" s="7"/>
      <c r="G6887" s="7"/>
      <c r="H6887" s="7"/>
      <c r="I6887" s="7"/>
      <c r="J6887" s="7"/>
      <c r="K6887" s="7"/>
      <c r="L6887" s="7"/>
      <c r="M6887" s="7"/>
      <c r="N6887" s="7"/>
      <c r="O6887" s="7"/>
      <c r="P6887" s="7"/>
      <c r="Q6887" s="7"/>
      <c r="R6887" s="7"/>
      <c r="S6887" s="7"/>
      <c r="T6887" s="7"/>
      <c r="U6887" s="7"/>
      <c r="V6887" s="7"/>
      <c r="W6887" s="7"/>
      <c r="X6887" s="7"/>
      <c r="Y6887" s="7"/>
      <c r="Z6887" s="7"/>
    </row>
    <row r="6888">
      <c r="A6888" s="7"/>
      <c r="B6888" s="7"/>
      <c r="C6888" s="7"/>
      <c r="D6888" s="7"/>
      <c r="E6888" s="7"/>
      <c r="F6888" s="7"/>
      <c r="G6888" s="7"/>
      <c r="H6888" s="7"/>
      <c r="I6888" s="7"/>
      <c r="J6888" s="7"/>
      <c r="K6888" s="7"/>
      <c r="L6888" s="7"/>
      <c r="M6888" s="7"/>
      <c r="N6888" s="7"/>
      <c r="O6888" s="7"/>
      <c r="P6888" s="7"/>
      <c r="Q6888" s="7"/>
      <c r="R6888" s="7"/>
      <c r="S6888" s="7"/>
      <c r="T6888" s="7"/>
      <c r="U6888" s="7"/>
      <c r="V6888" s="7"/>
      <c r="W6888" s="7"/>
      <c r="X6888" s="7"/>
      <c r="Y6888" s="7"/>
      <c r="Z6888" s="7"/>
    </row>
    <row r="6889">
      <c r="A6889" s="7"/>
      <c r="B6889" s="7"/>
      <c r="C6889" s="7"/>
      <c r="D6889" s="7"/>
      <c r="E6889" s="7"/>
      <c r="F6889" s="7"/>
      <c r="G6889" s="7"/>
      <c r="H6889" s="7"/>
      <c r="I6889" s="7"/>
      <c r="J6889" s="7"/>
      <c r="K6889" s="7"/>
      <c r="L6889" s="7"/>
      <c r="M6889" s="7"/>
      <c r="N6889" s="7"/>
      <c r="O6889" s="7"/>
      <c r="P6889" s="7"/>
      <c r="Q6889" s="7"/>
      <c r="R6889" s="7"/>
      <c r="S6889" s="7"/>
      <c r="T6889" s="7"/>
      <c r="U6889" s="7"/>
      <c r="V6889" s="7"/>
      <c r="W6889" s="7"/>
      <c r="X6889" s="7"/>
      <c r="Y6889" s="7"/>
      <c r="Z6889" s="7"/>
    </row>
    <row r="6890">
      <c r="A6890" s="7"/>
      <c r="B6890" s="7"/>
      <c r="C6890" s="7"/>
      <c r="D6890" s="7"/>
      <c r="E6890" s="7"/>
      <c r="F6890" s="7"/>
      <c r="G6890" s="7"/>
      <c r="H6890" s="7"/>
      <c r="I6890" s="7"/>
      <c r="J6890" s="7"/>
      <c r="K6890" s="7"/>
      <c r="L6890" s="7"/>
      <c r="M6890" s="7"/>
      <c r="N6890" s="7"/>
      <c r="O6890" s="7"/>
      <c r="P6890" s="7"/>
      <c r="Q6890" s="7"/>
      <c r="R6890" s="7"/>
      <c r="S6890" s="7"/>
      <c r="T6890" s="7"/>
      <c r="U6890" s="7"/>
      <c r="V6890" s="7"/>
      <c r="W6890" s="7"/>
      <c r="X6890" s="7"/>
      <c r="Y6890" s="7"/>
      <c r="Z6890" s="7"/>
    </row>
    <row r="6891">
      <c r="A6891" s="7"/>
      <c r="B6891" s="7"/>
      <c r="C6891" s="7"/>
      <c r="D6891" s="7"/>
      <c r="E6891" s="7"/>
      <c r="F6891" s="7"/>
      <c r="G6891" s="7"/>
      <c r="H6891" s="7"/>
      <c r="I6891" s="7"/>
      <c r="J6891" s="7"/>
      <c r="K6891" s="7"/>
      <c r="L6891" s="7"/>
      <c r="M6891" s="7"/>
      <c r="N6891" s="7"/>
      <c r="O6891" s="7"/>
      <c r="P6891" s="7"/>
      <c r="Q6891" s="7"/>
      <c r="R6891" s="7"/>
      <c r="S6891" s="7"/>
      <c r="T6891" s="7"/>
      <c r="U6891" s="7"/>
      <c r="V6891" s="7"/>
      <c r="W6891" s="7"/>
      <c r="X6891" s="7"/>
      <c r="Y6891" s="7"/>
      <c r="Z6891" s="7"/>
    </row>
    <row r="6892">
      <c r="A6892" s="7"/>
      <c r="B6892" s="7"/>
      <c r="C6892" s="7"/>
      <c r="D6892" s="7"/>
      <c r="E6892" s="7"/>
      <c r="F6892" s="7"/>
      <c r="G6892" s="7"/>
      <c r="H6892" s="7"/>
      <c r="I6892" s="7"/>
      <c r="J6892" s="7"/>
      <c r="K6892" s="7"/>
      <c r="L6892" s="7"/>
      <c r="M6892" s="7"/>
      <c r="N6892" s="7"/>
      <c r="O6892" s="7"/>
      <c r="P6892" s="7"/>
      <c r="Q6892" s="7"/>
      <c r="R6892" s="7"/>
      <c r="S6892" s="7"/>
      <c r="T6892" s="7"/>
      <c r="U6892" s="7"/>
      <c r="V6892" s="7"/>
      <c r="W6892" s="7"/>
      <c r="X6892" s="7"/>
      <c r="Y6892" s="7"/>
      <c r="Z6892" s="7"/>
    </row>
    <row r="6893">
      <c r="A6893" s="7"/>
      <c r="B6893" s="7"/>
      <c r="C6893" s="7"/>
      <c r="D6893" s="7"/>
      <c r="E6893" s="7"/>
      <c r="F6893" s="7"/>
      <c r="G6893" s="7"/>
      <c r="H6893" s="7"/>
      <c r="I6893" s="7"/>
      <c r="J6893" s="7"/>
      <c r="K6893" s="7"/>
      <c r="L6893" s="7"/>
      <c r="M6893" s="7"/>
      <c r="N6893" s="7"/>
      <c r="O6893" s="7"/>
      <c r="P6893" s="7"/>
      <c r="Q6893" s="7"/>
      <c r="R6893" s="7"/>
      <c r="S6893" s="7"/>
      <c r="T6893" s="7"/>
      <c r="U6893" s="7"/>
      <c r="V6893" s="7"/>
      <c r="W6893" s="7"/>
      <c r="X6893" s="7"/>
      <c r="Y6893" s="7"/>
      <c r="Z6893" s="7"/>
    </row>
    <row r="6894">
      <c r="A6894" s="7"/>
      <c r="B6894" s="7"/>
      <c r="C6894" s="7"/>
      <c r="D6894" s="7"/>
      <c r="E6894" s="7"/>
      <c r="F6894" s="7"/>
      <c r="G6894" s="7"/>
      <c r="H6894" s="7"/>
      <c r="I6894" s="7"/>
      <c r="J6894" s="7"/>
      <c r="K6894" s="7"/>
      <c r="L6894" s="7"/>
      <c r="M6894" s="7"/>
      <c r="N6894" s="7"/>
      <c r="O6894" s="7"/>
      <c r="P6894" s="7"/>
      <c r="Q6894" s="7"/>
      <c r="R6894" s="7"/>
      <c r="S6894" s="7"/>
      <c r="T6894" s="7"/>
      <c r="U6894" s="7"/>
      <c r="V6894" s="7"/>
      <c r="W6894" s="7"/>
      <c r="X6894" s="7"/>
      <c r="Y6894" s="7"/>
      <c r="Z6894" s="7"/>
    </row>
    <row r="6895">
      <c r="A6895" s="7"/>
      <c r="B6895" s="7"/>
      <c r="C6895" s="7"/>
      <c r="D6895" s="7"/>
      <c r="E6895" s="7"/>
      <c r="F6895" s="7"/>
      <c r="G6895" s="7"/>
      <c r="H6895" s="7"/>
      <c r="I6895" s="7"/>
      <c r="J6895" s="7"/>
      <c r="K6895" s="7"/>
      <c r="L6895" s="7"/>
      <c r="M6895" s="7"/>
      <c r="N6895" s="7"/>
      <c r="O6895" s="7"/>
      <c r="P6895" s="7"/>
      <c r="Q6895" s="7"/>
      <c r="R6895" s="7"/>
      <c r="S6895" s="7"/>
      <c r="T6895" s="7"/>
      <c r="U6895" s="7"/>
      <c r="V6895" s="7"/>
      <c r="W6895" s="7"/>
      <c r="X6895" s="7"/>
      <c r="Y6895" s="7"/>
      <c r="Z6895" s="7"/>
    </row>
    <row r="6896">
      <c r="A6896" s="7"/>
      <c r="B6896" s="7"/>
      <c r="C6896" s="7"/>
      <c r="D6896" s="7"/>
      <c r="E6896" s="7"/>
      <c r="F6896" s="7"/>
      <c r="G6896" s="7"/>
      <c r="H6896" s="7"/>
      <c r="I6896" s="7"/>
      <c r="J6896" s="7"/>
      <c r="K6896" s="7"/>
      <c r="L6896" s="7"/>
      <c r="M6896" s="7"/>
      <c r="N6896" s="7"/>
      <c r="O6896" s="7"/>
      <c r="P6896" s="7"/>
      <c r="Q6896" s="7"/>
      <c r="R6896" s="7"/>
      <c r="S6896" s="7"/>
      <c r="T6896" s="7"/>
      <c r="U6896" s="7"/>
      <c r="V6896" s="7"/>
      <c r="W6896" s="7"/>
      <c r="X6896" s="7"/>
      <c r="Y6896" s="7"/>
      <c r="Z6896" s="7"/>
    </row>
    <row r="6897">
      <c r="A6897" s="7"/>
      <c r="B6897" s="7"/>
      <c r="C6897" s="7"/>
      <c r="D6897" s="7"/>
      <c r="E6897" s="7"/>
      <c r="F6897" s="7"/>
      <c r="G6897" s="7"/>
      <c r="H6897" s="7"/>
      <c r="I6897" s="7"/>
      <c r="J6897" s="7"/>
      <c r="K6897" s="7"/>
      <c r="L6897" s="7"/>
      <c r="M6897" s="7"/>
      <c r="N6897" s="7"/>
      <c r="O6897" s="7"/>
      <c r="P6897" s="7"/>
      <c r="Q6897" s="7"/>
      <c r="R6897" s="7"/>
      <c r="S6897" s="7"/>
      <c r="T6897" s="7"/>
      <c r="U6897" s="7"/>
      <c r="V6897" s="7"/>
      <c r="W6897" s="7"/>
      <c r="X6897" s="7"/>
      <c r="Y6897" s="7"/>
      <c r="Z6897" s="7"/>
    </row>
    <row r="6898">
      <c r="A6898" s="7"/>
      <c r="B6898" s="7"/>
      <c r="C6898" s="7"/>
      <c r="D6898" s="7"/>
      <c r="E6898" s="7"/>
      <c r="F6898" s="7"/>
      <c r="G6898" s="7"/>
      <c r="H6898" s="7"/>
      <c r="I6898" s="7"/>
      <c r="J6898" s="7"/>
      <c r="K6898" s="7"/>
      <c r="L6898" s="7"/>
      <c r="M6898" s="7"/>
      <c r="N6898" s="7"/>
      <c r="O6898" s="7"/>
      <c r="P6898" s="7"/>
      <c r="Q6898" s="7"/>
      <c r="R6898" s="7"/>
      <c r="S6898" s="7"/>
      <c r="T6898" s="7"/>
      <c r="U6898" s="7"/>
      <c r="V6898" s="7"/>
      <c r="W6898" s="7"/>
      <c r="X6898" s="7"/>
      <c r="Y6898" s="7"/>
      <c r="Z6898" s="7"/>
    </row>
    <row r="6899">
      <c r="A6899" s="7"/>
      <c r="B6899" s="7"/>
      <c r="C6899" s="7"/>
      <c r="D6899" s="7"/>
      <c r="E6899" s="7"/>
      <c r="F6899" s="7"/>
      <c r="G6899" s="7"/>
      <c r="H6899" s="7"/>
      <c r="I6899" s="7"/>
      <c r="J6899" s="7"/>
      <c r="K6899" s="7"/>
      <c r="L6899" s="7"/>
      <c r="M6899" s="7"/>
      <c r="N6899" s="7"/>
      <c r="O6899" s="7"/>
      <c r="P6899" s="7"/>
      <c r="Q6899" s="7"/>
      <c r="R6899" s="7"/>
      <c r="S6899" s="7"/>
      <c r="T6899" s="7"/>
      <c r="U6899" s="7"/>
      <c r="V6899" s="7"/>
      <c r="W6899" s="7"/>
      <c r="X6899" s="7"/>
      <c r="Y6899" s="7"/>
      <c r="Z6899" s="7"/>
    </row>
    <row r="6900">
      <c r="A6900" s="7"/>
      <c r="B6900" s="7"/>
      <c r="C6900" s="7"/>
      <c r="D6900" s="7"/>
      <c r="E6900" s="7"/>
      <c r="F6900" s="7"/>
      <c r="G6900" s="7"/>
      <c r="H6900" s="7"/>
      <c r="I6900" s="7"/>
      <c r="J6900" s="7"/>
      <c r="K6900" s="7"/>
      <c r="L6900" s="7"/>
      <c r="M6900" s="7"/>
      <c r="N6900" s="7"/>
      <c r="O6900" s="7"/>
      <c r="P6900" s="7"/>
      <c r="Q6900" s="7"/>
      <c r="R6900" s="7"/>
      <c r="S6900" s="7"/>
      <c r="T6900" s="7"/>
      <c r="U6900" s="7"/>
      <c r="V6900" s="7"/>
      <c r="W6900" s="7"/>
      <c r="X6900" s="7"/>
      <c r="Y6900" s="7"/>
      <c r="Z6900" s="7"/>
    </row>
    <row r="6901">
      <c r="A6901" s="7"/>
      <c r="B6901" s="7"/>
      <c r="C6901" s="7"/>
      <c r="D6901" s="7"/>
      <c r="E6901" s="7"/>
      <c r="F6901" s="7"/>
      <c r="G6901" s="7"/>
      <c r="H6901" s="7"/>
      <c r="I6901" s="7"/>
      <c r="J6901" s="7"/>
      <c r="K6901" s="7"/>
      <c r="L6901" s="7"/>
      <c r="M6901" s="7"/>
      <c r="N6901" s="7"/>
      <c r="O6901" s="7"/>
      <c r="P6901" s="7"/>
      <c r="Q6901" s="7"/>
      <c r="R6901" s="7"/>
      <c r="S6901" s="7"/>
      <c r="T6901" s="7"/>
      <c r="U6901" s="7"/>
      <c r="V6901" s="7"/>
      <c r="W6901" s="7"/>
      <c r="X6901" s="7"/>
      <c r="Y6901" s="7"/>
      <c r="Z6901" s="7"/>
    </row>
    <row r="6902">
      <c r="A6902" s="7"/>
      <c r="B6902" s="7"/>
      <c r="C6902" s="7"/>
      <c r="D6902" s="7"/>
      <c r="E6902" s="7"/>
      <c r="F6902" s="7"/>
      <c r="G6902" s="7"/>
      <c r="H6902" s="7"/>
      <c r="I6902" s="7"/>
      <c r="J6902" s="7"/>
      <c r="K6902" s="7"/>
      <c r="L6902" s="7"/>
      <c r="M6902" s="7"/>
      <c r="N6902" s="7"/>
      <c r="O6902" s="7"/>
      <c r="P6902" s="7"/>
      <c r="Q6902" s="7"/>
      <c r="R6902" s="7"/>
      <c r="S6902" s="7"/>
      <c r="T6902" s="7"/>
      <c r="U6902" s="7"/>
      <c r="V6902" s="7"/>
      <c r="W6902" s="7"/>
      <c r="X6902" s="7"/>
      <c r="Y6902" s="7"/>
      <c r="Z6902" s="7"/>
    </row>
    <row r="6903">
      <c r="A6903" s="7"/>
      <c r="B6903" s="7"/>
      <c r="C6903" s="7"/>
      <c r="D6903" s="7"/>
      <c r="E6903" s="7"/>
      <c r="F6903" s="7"/>
      <c r="G6903" s="7"/>
      <c r="H6903" s="7"/>
      <c r="I6903" s="7"/>
      <c r="J6903" s="7"/>
      <c r="K6903" s="7"/>
      <c r="L6903" s="7"/>
      <c r="M6903" s="7"/>
      <c r="N6903" s="7"/>
      <c r="O6903" s="7"/>
      <c r="P6903" s="7"/>
      <c r="Q6903" s="7"/>
      <c r="R6903" s="7"/>
      <c r="S6903" s="7"/>
      <c r="T6903" s="7"/>
      <c r="U6903" s="7"/>
      <c r="V6903" s="7"/>
      <c r="W6903" s="7"/>
      <c r="X6903" s="7"/>
      <c r="Y6903" s="7"/>
      <c r="Z6903" s="7"/>
    </row>
    <row r="6904">
      <c r="A6904" s="7"/>
      <c r="B6904" s="7"/>
      <c r="C6904" s="7"/>
      <c r="D6904" s="7"/>
      <c r="E6904" s="7"/>
      <c r="F6904" s="7"/>
      <c r="G6904" s="7"/>
      <c r="H6904" s="7"/>
      <c r="I6904" s="7"/>
      <c r="J6904" s="7"/>
      <c r="K6904" s="7"/>
      <c r="L6904" s="7"/>
      <c r="M6904" s="7"/>
      <c r="N6904" s="7"/>
      <c r="O6904" s="7"/>
      <c r="P6904" s="7"/>
      <c r="Q6904" s="7"/>
      <c r="R6904" s="7"/>
      <c r="S6904" s="7"/>
      <c r="T6904" s="7"/>
      <c r="U6904" s="7"/>
      <c r="V6904" s="7"/>
      <c r="W6904" s="7"/>
      <c r="X6904" s="7"/>
      <c r="Y6904" s="7"/>
      <c r="Z6904" s="7"/>
    </row>
    <row r="6905">
      <c r="A6905" s="7"/>
      <c r="B6905" s="7"/>
      <c r="C6905" s="7"/>
      <c r="D6905" s="7"/>
      <c r="E6905" s="7"/>
      <c r="F6905" s="7"/>
      <c r="G6905" s="7"/>
      <c r="H6905" s="7"/>
      <c r="I6905" s="7"/>
      <c r="J6905" s="7"/>
      <c r="K6905" s="7"/>
      <c r="L6905" s="7"/>
      <c r="M6905" s="7"/>
      <c r="N6905" s="7"/>
      <c r="O6905" s="7"/>
      <c r="P6905" s="7"/>
      <c r="Q6905" s="7"/>
      <c r="R6905" s="7"/>
      <c r="S6905" s="7"/>
      <c r="T6905" s="7"/>
      <c r="U6905" s="7"/>
      <c r="V6905" s="7"/>
      <c r="W6905" s="7"/>
      <c r="X6905" s="7"/>
      <c r="Y6905" s="7"/>
      <c r="Z6905" s="7"/>
    </row>
    <row r="6906">
      <c r="A6906" s="7"/>
      <c r="B6906" s="7"/>
      <c r="C6906" s="7"/>
      <c r="D6906" s="7"/>
      <c r="E6906" s="7"/>
      <c r="F6906" s="7"/>
      <c r="G6906" s="7"/>
      <c r="H6906" s="7"/>
      <c r="I6906" s="7"/>
      <c r="J6906" s="7"/>
      <c r="K6906" s="7"/>
      <c r="L6906" s="7"/>
      <c r="M6906" s="7"/>
      <c r="N6906" s="7"/>
      <c r="O6906" s="7"/>
      <c r="P6906" s="7"/>
      <c r="Q6906" s="7"/>
      <c r="R6906" s="7"/>
      <c r="S6906" s="7"/>
      <c r="T6906" s="7"/>
      <c r="U6906" s="7"/>
      <c r="V6906" s="7"/>
      <c r="W6906" s="7"/>
      <c r="X6906" s="7"/>
      <c r="Y6906" s="7"/>
      <c r="Z6906" s="7"/>
    </row>
    <row r="6907">
      <c r="A6907" s="7"/>
      <c r="B6907" s="7"/>
      <c r="C6907" s="7"/>
      <c r="D6907" s="7"/>
      <c r="E6907" s="7"/>
      <c r="F6907" s="7"/>
      <c r="G6907" s="7"/>
      <c r="H6907" s="7"/>
      <c r="I6907" s="7"/>
      <c r="J6907" s="7"/>
      <c r="K6907" s="7"/>
      <c r="L6907" s="7"/>
      <c r="M6907" s="7"/>
      <c r="N6907" s="7"/>
      <c r="O6907" s="7"/>
      <c r="P6907" s="7"/>
      <c r="Q6907" s="7"/>
      <c r="R6907" s="7"/>
      <c r="S6907" s="7"/>
      <c r="T6907" s="7"/>
      <c r="U6907" s="7"/>
      <c r="V6907" s="7"/>
      <c r="W6907" s="7"/>
      <c r="X6907" s="7"/>
      <c r="Y6907" s="7"/>
      <c r="Z6907" s="7"/>
    </row>
    <row r="6908">
      <c r="A6908" s="7"/>
      <c r="B6908" s="7"/>
      <c r="C6908" s="7"/>
      <c r="D6908" s="7"/>
      <c r="E6908" s="7"/>
      <c r="F6908" s="7"/>
      <c r="G6908" s="7"/>
      <c r="H6908" s="7"/>
      <c r="I6908" s="7"/>
      <c r="J6908" s="7"/>
      <c r="K6908" s="7"/>
      <c r="L6908" s="7"/>
      <c r="M6908" s="7"/>
      <c r="N6908" s="7"/>
      <c r="O6908" s="7"/>
      <c r="P6908" s="7"/>
      <c r="Q6908" s="7"/>
      <c r="R6908" s="7"/>
      <c r="S6908" s="7"/>
      <c r="T6908" s="7"/>
      <c r="U6908" s="7"/>
      <c r="V6908" s="7"/>
      <c r="W6908" s="7"/>
      <c r="X6908" s="7"/>
      <c r="Y6908" s="7"/>
      <c r="Z6908" s="7"/>
    </row>
    <row r="6909">
      <c r="A6909" s="7"/>
      <c r="B6909" s="7"/>
      <c r="C6909" s="7"/>
      <c r="D6909" s="7"/>
      <c r="E6909" s="7"/>
      <c r="F6909" s="7"/>
      <c r="G6909" s="7"/>
      <c r="H6909" s="7"/>
      <c r="I6909" s="7"/>
      <c r="J6909" s="7"/>
      <c r="K6909" s="7"/>
      <c r="L6909" s="7"/>
      <c r="M6909" s="7"/>
      <c r="N6909" s="7"/>
      <c r="O6909" s="7"/>
      <c r="P6909" s="7"/>
      <c r="Q6909" s="7"/>
      <c r="R6909" s="7"/>
      <c r="S6909" s="7"/>
      <c r="T6909" s="7"/>
      <c r="U6909" s="7"/>
      <c r="V6909" s="7"/>
      <c r="W6909" s="7"/>
      <c r="X6909" s="7"/>
      <c r="Y6909" s="7"/>
      <c r="Z6909" s="7"/>
    </row>
    <row r="6910">
      <c r="A6910" s="7"/>
      <c r="B6910" s="7"/>
      <c r="C6910" s="7"/>
      <c r="D6910" s="7"/>
      <c r="E6910" s="7"/>
      <c r="F6910" s="7"/>
      <c r="G6910" s="7"/>
      <c r="H6910" s="7"/>
      <c r="I6910" s="7"/>
      <c r="J6910" s="7"/>
      <c r="K6910" s="7"/>
      <c r="L6910" s="7"/>
      <c r="M6910" s="7"/>
      <c r="N6910" s="7"/>
      <c r="O6910" s="7"/>
      <c r="P6910" s="7"/>
      <c r="Q6910" s="7"/>
      <c r="R6910" s="7"/>
      <c r="S6910" s="7"/>
      <c r="T6910" s="7"/>
      <c r="U6910" s="7"/>
      <c r="V6910" s="7"/>
      <c r="W6910" s="7"/>
      <c r="X6910" s="7"/>
      <c r="Y6910" s="7"/>
      <c r="Z6910" s="7"/>
    </row>
    <row r="6911">
      <c r="A6911" s="7"/>
      <c r="B6911" s="7"/>
      <c r="C6911" s="7"/>
      <c r="D6911" s="7"/>
      <c r="E6911" s="7"/>
      <c r="F6911" s="7"/>
      <c r="G6911" s="7"/>
      <c r="H6911" s="7"/>
      <c r="I6911" s="7"/>
      <c r="J6911" s="7"/>
      <c r="K6911" s="7"/>
      <c r="L6911" s="7"/>
      <c r="M6911" s="7"/>
      <c r="N6911" s="7"/>
      <c r="O6911" s="7"/>
      <c r="P6911" s="7"/>
      <c r="Q6911" s="7"/>
      <c r="R6911" s="7"/>
      <c r="S6911" s="7"/>
      <c r="T6911" s="7"/>
      <c r="U6911" s="7"/>
      <c r="V6911" s="7"/>
      <c r="W6911" s="7"/>
      <c r="X6911" s="7"/>
      <c r="Y6911" s="7"/>
      <c r="Z6911" s="7"/>
    </row>
    <row r="6912">
      <c r="A6912" s="7"/>
      <c r="B6912" s="7"/>
      <c r="C6912" s="7"/>
      <c r="D6912" s="7"/>
      <c r="E6912" s="7"/>
      <c r="F6912" s="7"/>
      <c r="G6912" s="7"/>
      <c r="H6912" s="7"/>
      <c r="I6912" s="7"/>
      <c r="J6912" s="7"/>
      <c r="K6912" s="7"/>
      <c r="L6912" s="7"/>
      <c r="M6912" s="7"/>
      <c r="N6912" s="7"/>
      <c r="O6912" s="7"/>
      <c r="P6912" s="7"/>
      <c r="Q6912" s="7"/>
      <c r="R6912" s="7"/>
      <c r="S6912" s="7"/>
      <c r="T6912" s="7"/>
      <c r="U6912" s="7"/>
      <c r="V6912" s="7"/>
      <c r="W6912" s="7"/>
      <c r="X6912" s="7"/>
      <c r="Y6912" s="7"/>
      <c r="Z6912" s="7"/>
    </row>
    <row r="6913">
      <c r="A6913" s="7"/>
      <c r="B6913" s="7"/>
      <c r="C6913" s="7"/>
      <c r="D6913" s="7"/>
      <c r="E6913" s="7"/>
      <c r="F6913" s="7"/>
      <c r="G6913" s="7"/>
      <c r="H6913" s="7"/>
      <c r="I6913" s="7"/>
      <c r="J6913" s="7"/>
      <c r="K6913" s="7"/>
      <c r="L6913" s="7"/>
      <c r="M6913" s="7"/>
      <c r="N6913" s="7"/>
      <c r="O6913" s="7"/>
      <c r="P6913" s="7"/>
      <c r="Q6913" s="7"/>
      <c r="R6913" s="7"/>
      <c r="S6913" s="7"/>
      <c r="T6913" s="7"/>
      <c r="U6913" s="7"/>
      <c r="V6913" s="7"/>
      <c r="W6913" s="7"/>
      <c r="X6913" s="7"/>
      <c r="Y6913" s="7"/>
      <c r="Z6913" s="7"/>
    </row>
    <row r="6914">
      <c r="A6914" s="7"/>
      <c r="B6914" s="7"/>
      <c r="C6914" s="7"/>
      <c r="D6914" s="7"/>
      <c r="E6914" s="7"/>
      <c r="F6914" s="7"/>
      <c r="G6914" s="7"/>
      <c r="H6914" s="7"/>
      <c r="I6914" s="7"/>
      <c r="J6914" s="7"/>
      <c r="K6914" s="7"/>
      <c r="L6914" s="7"/>
      <c r="M6914" s="7"/>
      <c r="N6914" s="7"/>
      <c r="O6914" s="7"/>
      <c r="P6914" s="7"/>
      <c r="Q6914" s="7"/>
      <c r="R6914" s="7"/>
      <c r="S6914" s="7"/>
      <c r="T6914" s="7"/>
      <c r="U6914" s="7"/>
      <c r="V6914" s="7"/>
      <c r="W6914" s="7"/>
      <c r="X6914" s="7"/>
      <c r="Y6914" s="7"/>
      <c r="Z6914" s="7"/>
    </row>
    <row r="6915">
      <c r="A6915" s="7"/>
      <c r="B6915" s="7"/>
      <c r="C6915" s="7"/>
      <c r="D6915" s="7"/>
      <c r="E6915" s="7"/>
      <c r="F6915" s="7"/>
      <c r="G6915" s="7"/>
      <c r="H6915" s="7"/>
      <c r="I6915" s="7"/>
      <c r="J6915" s="7"/>
      <c r="K6915" s="7"/>
      <c r="L6915" s="7"/>
      <c r="M6915" s="7"/>
      <c r="N6915" s="7"/>
      <c r="O6915" s="7"/>
      <c r="P6915" s="7"/>
      <c r="Q6915" s="7"/>
      <c r="R6915" s="7"/>
      <c r="S6915" s="7"/>
      <c r="T6915" s="7"/>
      <c r="U6915" s="7"/>
      <c r="V6915" s="7"/>
      <c r="W6915" s="7"/>
      <c r="X6915" s="7"/>
      <c r="Y6915" s="7"/>
      <c r="Z6915" s="7"/>
    </row>
    <row r="6916">
      <c r="A6916" s="7"/>
      <c r="B6916" s="7"/>
      <c r="C6916" s="7"/>
      <c r="D6916" s="7"/>
      <c r="E6916" s="7"/>
      <c r="F6916" s="7"/>
      <c r="G6916" s="7"/>
      <c r="H6916" s="7"/>
      <c r="I6916" s="7"/>
      <c r="J6916" s="7"/>
      <c r="K6916" s="7"/>
      <c r="L6916" s="7"/>
      <c r="M6916" s="7"/>
      <c r="N6916" s="7"/>
      <c r="O6916" s="7"/>
      <c r="P6916" s="7"/>
      <c r="Q6916" s="7"/>
      <c r="R6916" s="7"/>
      <c r="S6916" s="7"/>
      <c r="T6916" s="7"/>
      <c r="U6916" s="7"/>
      <c r="V6916" s="7"/>
      <c r="W6916" s="7"/>
      <c r="X6916" s="7"/>
      <c r="Y6916" s="7"/>
      <c r="Z6916" s="7"/>
    </row>
    <row r="6917">
      <c r="A6917" s="7"/>
      <c r="B6917" s="7"/>
      <c r="C6917" s="7"/>
      <c r="D6917" s="7"/>
      <c r="E6917" s="7"/>
      <c r="F6917" s="7"/>
      <c r="G6917" s="7"/>
      <c r="H6917" s="7"/>
      <c r="I6917" s="7"/>
      <c r="J6917" s="7"/>
      <c r="K6917" s="7"/>
      <c r="L6917" s="7"/>
      <c r="M6917" s="7"/>
      <c r="N6917" s="7"/>
      <c r="O6917" s="7"/>
      <c r="P6917" s="7"/>
      <c r="Q6917" s="7"/>
      <c r="R6917" s="7"/>
      <c r="S6917" s="7"/>
      <c r="T6917" s="7"/>
      <c r="U6917" s="7"/>
      <c r="V6917" s="7"/>
      <c r="W6917" s="7"/>
      <c r="X6917" s="7"/>
      <c r="Y6917" s="7"/>
      <c r="Z6917" s="7"/>
    </row>
    <row r="6918">
      <c r="A6918" s="7"/>
      <c r="B6918" s="7"/>
      <c r="C6918" s="7"/>
      <c r="D6918" s="7"/>
      <c r="E6918" s="7"/>
      <c r="F6918" s="7"/>
      <c r="G6918" s="7"/>
      <c r="H6918" s="7"/>
      <c r="I6918" s="7"/>
      <c r="J6918" s="7"/>
      <c r="K6918" s="7"/>
      <c r="L6918" s="7"/>
      <c r="M6918" s="7"/>
      <c r="N6918" s="7"/>
      <c r="O6918" s="7"/>
      <c r="P6918" s="7"/>
      <c r="Q6918" s="7"/>
      <c r="R6918" s="7"/>
      <c r="S6918" s="7"/>
      <c r="T6918" s="7"/>
      <c r="U6918" s="7"/>
      <c r="V6918" s="7"/>
      <c r="W6918" s="7"/>
      <c r="X6918" s="7"/>
      <c r="Y6918" s="7"/>
      <c r="Z6918" s="7"/>
    </row>
    <row r="6919">
      <c r="A6919" s="7"/>
      <c r="B6919" s="7"/>
      <c r="C6919" s="7"/>
      <c r="D6919" s="7"/>
      <c r="E6919" s="7"/>
      <c r="F6919" s="7"/>
      <c r="G6919" s="7"/>
      <c r="H6919" s="7"/>
      <c r="I6919" s="7"/>
      <c r="J6919" s="7"/>
      <c r="K6919" s="7"/>
      <c r="L6919" s="7"/>
      <c r="M6919" s="7"/>
      <c r="N6919" s="7"/>
      <c r="O6919" s="7"/>
      <c r="P6919" s="7"/>
      <c r="Q6919" s="7"/>
      <c r="R6919" s="7"/>
      <c r="S6919" s="7"/>
      <c r="T6919" s="7"/>
      <c r="U6919" s="7"/>
      <c r="V6919" s="7"/>
      <c r="W6919" s="7"/>
      <c r="X6919" s="7"/>
      <c r="Y6919" s="7"/>
      <c r="Z6919" s="7"/>
    </row>
    <row r="6920">
      <c r="A6920" s="7"/>
      <c r="B6920" s="7"/>
      <c r="C6920" s="7"/>
      <c r="D6920" s="7"/>
      <c r="E6920" s="7"/>
      <c r="F6920" s="7"/>
      <c r="G6920" s="7"/>
      <c r="H6920" s="7"/>
      <c r="I6920" s="7"/>
      <c r="J6920" s="7"/>
      <c r="K6920" s="7"/>
      <c r="L6920" s="7"/>
      <c r="M6920" s="7"/>
      <c r="N6920" s="7"/>
      <c r="O6920" s="7"/>
      <c r="P6920" s="7"/>
      <c r="Q6920" s="7"/>
      <c r="R6920" s="7"/>
      <c r="S6920" s="7"/>
      <c r="T6920" s="7"/>
      <c r="U6920" s="7"/>
      <c r="V6920" s="7"/>
      <c r="W6920" s="7"/>
      <c r="X6920" s="7"/>
      <c r="Y6920" s="7"/>
      <c r="Z6920" s="7"/>
    </row>
    <row r="6921">
      <c r="A6921" s="7"/>
      <c r="B6921" s="7"/>
      <c r="C6921" s="7"/>
      <c r="D6921" s="7"/>
      <c r="E6921" s="7"/>
      <c r="F6921" s="7"/>
      <c r="G6921" s="7"/>
      <c r="H6921" s="7"/>
      <c r="I6921" s="7"/>
      <c r="J6921" s="7"/>
      <c r="K6921" s="7"/>
      <c r="L6921" s="7"/>
      <c r="M6921" s="7"/>
      <c r="N6921" s="7"/>
      <c r="O6921" s="7"/>
      <c r="P6921" s="7"/>
      <c r="Q6921" s="7"/>
      <c r="R6921" s="7"/>
      <c r="S6921" s="7"/>
      <c r="T6921" s="7"/>
      <c r="U6921" s="7"/>
      <c r="V6921" s="7"/>
      <c r="W6921" s="7"/>
      <c r="X6921" s="7"/>
      <c r="Y6921" s="7"/>
      <c r="Z6921" s="7"/>
    </row>
    <row r="6922">
      <c r="A6922" s="7"/>
      <c r="B6922" s="7"/>
      <c r="C6922" s="7"/>
      <c r="D6922" s="7"/>
      <c r="E6922" s="7"/>
      <c r="F6922" s="7"/>
      <c r="G6922" s="7"/>
      <c r="H6922" s="7"/>
      <c r="I6922" s="7"/>
      <c r="J6922" s="7"/>
      <c r="K6922" s="7"/>
      <c r="L6922" s="7"/>
      <c r="M6922" s="7"/>
      <c r="N6922" s="7"/>
      <c r="O6922" s="7"/>
      <c r="P6922" s="7"/>
      <c r="Q6922" s="7"/>
      <c r="R6922" s="7"/>
      <c r="S6922" s="7"/>
      <c r="T6922" s="7"/>
      <c r="U6922" s="7"/>
      <c r="V6922" s="7"/>
      <c r="W6922" s="7"/>
      <c r="X6922" s="7"/>
      <c r="Y6922" s="7"/>
      <c r="Z6922" s="7"/>
    </row>
    <row r="6923">
      <c r="A6923" s="7"/>
      <c r="B6923" s="7"/>
      <c r="C6923" s="7"/>
      <c r="D6923" s="7"/>
      <c r="E6923" s="7"/>
      <c r="F6923" s="7"/>
      <c r="G6923" s="7"/>
      <c r="H6923" s="7"/>
      <c r="I6923" s="7"/>
      <c r="J6923" s="7"/>
      <c r="K6923" s="7"/>
      <c r="L6923" s="7"/>
      <c r="M6923" s="7"/>
      <c r="N6923" s="7"/>
      <c r="O6923" s="7"/>
      <c r="P6923" s="7"/>
      <c r="Q6923" s="7"/>
      <c r="R6923" s="7"/>
      <c r="S6923" s="7"/>
      <c r="T6923" s="7"/>
      <c r="U6923" s="7"/>
      <c r="V6923" s="7"/>
      <c r="W6923" s="7"/>
      <c r="X6923" s="7"/>
      <c r="Y6923" s="7"/>
      <c r="Z6923" s="7"/>
    </row>
    <row r="6924">
      <c r="A6924" s="7"/>
      <c r="B6924" s="7"/>
      <c r="C6924" s="7"/>
      <c r="D6924" s="7"/>
      <c r="E6924" s="7"/>
      <c r="F6924" s="7"/>
      <c r="G6924" s="7"/>
      <c r="H6924" s="7"/>
      <c r="I6924" s="7"/>
      <c r="J6924" s="7"/>
      <c r="K6924" s="7"/>
      <c r="L6924" s="7"/>
      <c r="M6924" s="7"/>
      <c r="N6924" s="7"/>
      <c r="O6924" s="7"/>
      <c r="P6924" s="7"/>
      <c r="Q6924" s="7"/>
      <c r="R6924" s="7"/>
      <c r="S6924" s="7"/>
      <c r="T6924" s="7"/>
      <c r="U6924" s="7"/>
      <c r="V6924" s="7"/>
      <c r="W6924" s="7"/>
      <c r="X6924" s="7"/>
      <c r="Y6924" s="7"/>
      <c r="Z6924" s="7"/>
    </row>
    <row r="6925">
      <c r="A6925" s="7"/>
      <c r="B6925" s="7"/>
      <c r="C6925" s="7"/>
      <c r="D6925" s="7"/>
      <c r="E6925" s="7"/>
      <c r="F6925" s="7"/>
      <c r="G6925" s="7"/>
      <c r="H6925" s="7"/>
      <c r="I6925" s="7"/>
      <c r="J6925" s="7"/>
      <c r="K6925" s="7"/>
      <c r="L6925" s="7"/>
      <c r="M6925" s="7"/>
      <c r="N6925" s="7"/>
      <c r="O6925" s="7"/>
      <c r="P6925" s="7"/>
      <c r="Q6925" s="7"/>
      <c r="R6925" s="7"/>
      <c r="S6925" s="7"/>
      <c r="T6925" s="7"/>
      <c r="U6925" s="7"/>
      <c r="V6925" s="7"/>
      <c r="W6925" s="7"/>
      <c r="X6925" s="7"/>
      <c r="Y6925" s="7"/>
      <c r="Z6925" s="7"/>
    </row>
    <row r="6926">
      <c r="A6926" s="7"/>
      <c r="B6926" s="7"/>
      <c r="C6926" s="7"/>
      <c r="D6926" s="7"/>
      <c r="E6926" s="7"/>
      <c r="F6926" s="7"/>
      <c r="G6926" s="7"/>
      <c r="H6926" s="7"/>
      <c r="I6926" s="7"/>
      <c r="J6926" s="7"/>
      <c r="K6926" s="7"/>
      <c r="L6926" s="7"/>
      <c r="M6926" s="7"/>
      <c r="N6926" s="7"/>
      <c r="O6926" s="7"/>
      <c r="P6926" s="7"/>
      <c r="Q6926" s="7"/>
      <c r="R6926" s="7"/>
      <c r="S6926" s="7"/>
      <c r="T6926" s="7"/>
      <c r="U6926" s="7"/>
      <c r="V6926" s="7"/>
      <c r="W6926" s="7"/>
      <c r="X6926" s="7"/>
      <c r="Y6926" s="7"/>
      <c r="Z6926" s="7"/>
    </row>
    <row r="6927">
      <c r="A6927" s="7"/>
      <c r="B6927" s="7"/>
      <c r="C6927" s="7"/>
      <c r="D6927" s="7"/>
      <c r="E6927" s="7"/>
      <c r="F6927" s="7"/>
      <c r="G6927" s="7"/>
      <c r="H6927" s="7"/>
      <c r="I6927" s="7"/>
      <c r="J6927" s="7"/>
      <c r="K6927" s="7"/>
      <c r="L6927" s="7"/>
      <c r="M6927" s="7"/>
      <c r="N6927" s="7"/>
      <c r="O6927" s="7"/>
      <c r="P6927" s="7"/>
      <c r="Q6927" s="7"/>
      <c r="R6927" s="7"/>
      <c r="S6927" s="7"/>
      <c r="T6927" s="7"/>
      <c r="U6927" s="7"/>
      <c r="V6927" s="7"/>
      <c r="W6927" s="7"/>
      <c r="X6927" s="7"/>
      <c r="Y6927" s="7"/>
      <c r="Z6927" s="7"/>
    </row>
    <row r="6928">
      <c r="A6928" s="7"/>
      <c r="B6928" s="7"/>
      <c r="C6928" s="7"/>
      <c r="D6928" s="7"/>
      <c r="E6928" s="7"/>
      <c r="F6928" s="7"/>
      <c r="G6928" s="7"/>
      <c r="H6928" s="7"/>
      <c r="I6928" s="7"/>
      <c r="J6928" s="7"/>
      <c r="K6928" s="7"/>
      <c r="L6928" s="7"/>
      <c r="M6928" s="7"/>
      <c r="N6928" s="7"/>
      <c r="O6928" s="7"/>
      <c r="P6928" s="7"/>
      <c r="Q6928" s="7"/>
      <c r="R6928" s="7"/>
      <c r="S6928" s="7"/>
      <c r="T6928" s="7"/>
      <c r="U6928" s="7"/>
      <c r="V6928" s="7"/>
      <c r="W6928" s="7"/>
      <c r="X6928" s="7"/>
      <c r="Y6928" s="7"/>
      <c r="Z6928" s="7"/>
    </row>
    <row r="6929">
      <c r="A6929" s="7"/>
      <c r="B6929" s="7"/>
      <c r="C6929" s="7"/>
      <c r="D6929" s="7"/>
      <c r="E6929" s="7"/>
      <c r="F6929" s="7"/>
      <c r="G6929" s="7"/>
      <c r="H6929" s="7"/>
      <c r="I6929" s="7"/>
      <c r="J6929" s="7"/>
      <c r="K6929" s="7"/>
      <c r="L6929" s="7"/>
      <c r="M6929" s="7"/>
      <c r="N6929" s="7"/>
      <c r="O6929" s="7"/>
      <c r="P6929" s="7"/>
      <c r="Q6929" s="7"/>
      <c r="R6929" s="7"/>
      <c r="S6929" s="7"/>
      <c r="T6929" s="7"/>
      <c r="U6929" s="7"/>
      <c r="V6929" s="7"/>
      <c r="W6929" s="7"/>
      <c r="X6929" s="7"/>
      <c r="Y6929" s="7"/>
      <c r="Z6929" s="7"/>
    </row>
    <row r="6930">
      <c r="A6930" s="7"/>
      <c r="B6930" s="7"/>
      <c r="C6930" s="7"/>
      <c r="D6930" s="7"/>
      <c r="E6930" s="7"/>
      <c r="F6930" s="7"/>
      <c r="G6930" s="7"/>
      <c r="H6930" s="7"/>
      <c r="I6930" s="7"/>
      <c r="J6930" s="7"/>
      <c r="K6930" s="7"/>
      <c r="L6930" s="7"/>
      <c r="M6930" s="7"/>
      <c r="N6930" s="7"/>
      <c r="O6930" s="7"/>
      <c r="P6930" s="7"/>
      <c r="Q6930" s="7"/>
      <c r="R6930" s="7"/>
      <c r="S6930" s="7"/>
      <c r="T6930" s="7"/>
      <c r="U6930" s="7"/>
      <c r="V6930" s="7"/>
      <c r="W6930" s="7"/>
      <c r="X6930" s="7"/>
      <c r="Y6930" s="7"/>
      <c r="Z6930" s="7"/>
    </row>
    <row r="6931">
      <c r="A6931" s="7"/>
      <c r="B6931" s="7"/>
      <c r="C6931" s="7"/>
      <c r="D6931" s="7"/>
      <c r="E6931" s="7"/>
      <c r="F6931" s="7"/>
      <c r="G6931" s="7"/>
      <c r="H6931" s="7"/>
      <c r="I6931" s="7"/>
      <c r="J6931" s="7"/>
      <c r="K6931" s="7"/>
      <c r="L6931" s="7"/>
      <c r="M6931" s="7"/>
      <c r="N6931" s="7"/>
      <c r="O6931" s="7"/>
      <c r="P6931" s="7"/>
      <c r="Q6931" s="7"/>
      <c r="R6931" s="7"/>
      <c r="S6931" s="7"/>
      <c r="T6931" s="7"/>
      <c r="U6931" s="7"/>
      <c r="V6931" s="7"/>
      <c r="W6931" s="7"/>
      <c r="X6931" s="7"/>
      <c r="Y6931" s="7"/>
      <c r="Z6931" s="7"/>
    </row>
    <row r="6932">
      <c r="A6932" s="7"/>
      <c r="B6932" s="7"/>
      <c r="C6932" s="7"/>
      <c r="D6932" s="7"/>
      <c r="E6932" s="7"/>
      <c r="F6932" s="7"/>
      <c r="G6932" s="7"/>
      <c r="H6932" s="7"/>
      <c r="I6932" s="7"/>
      <c r="J6932" s="7"/>
      <c r="K6932" s="7"/>
      <c r="L6932" s="7"/>
      <c r="M6932" s="7"/>
      <c r="N6932" s="7"/>
      <c r="O6932" s="7"/>
      <c r="P6932" s="7"/>
      <c r="Q6932" s="7"/>
      <c r="R6932" s="7"/>
      <c r="S6932" s="7"/>
      <c r="T6932" s="7"/>
      <c r="U6932" s="7"/>
      <c r="V6932" s="7"/>
      <c r="W6932" s="7"/>
      <c r="X6932" s="7"/>
      <c r="Y6932" s="7"/>
      <c r="Z6932" s="7"/>
    </row>
    <row r="6933">
      <c r="A6933" s="7"/>
      <c r="B6933" s="7"/>
      <c r="C6933" s="7"/>
      <c r="D6933" s="7"/>
      <c r="E6933" s="7"/>
      <c r="F6933" s="7"/>
      <c r="G6933" s="7"/>
      <c r="H6933" s="7"/>
      <c r="I6933" s="7"/>
      <c r="J6933" s="7"/>
      <c r="K6933" s="7"/>
      <c r="L6933" s="7"/>
      <c r="M6933" s="7"/>
      <c r="N6933" s="7"/>
      <c r="O6933" s="7"/>
      <c r="P6933" s="7"/>
      <c r="Q6933" s="7"/>
      <c r="R6933" s="7"/>
      <c r="S6933" s="7"/>
      <c r="T6933" s="7"/>
      <c r="U6933" s="7"/>
      <c r="V6933" s="7"/>
      <c r="W6933" s="7"/>
      <c r="X6933" s="7"/>
      <c r="Y6933" s="7"/>
      <c r="Z6933" s="7"/>
    </row>
    <row r="6934">
      <c r="A6934" s="7"/>
      <c r="B6934" s="7"/>
      <c r="C6934" s="7"/>
      <c r="D6934" s="7"/>
      <c r="E6934" s="7"/>
      <c r="F6934" s="7"/>
      <c r="G6934" s="7"/>
      <c r="H6934" s="7"/>
      <c r="I6934" s="7"/>
      <c r="J6934" s="7"/>
      <c r="K6934" s="7"/>
      <c r="L6934" s="7"/>
      <c r="M6934" s="7"/>
      <c r="N6934" s="7"/>
      <c r="O6934" s="7"/>
      <c r="P6934" s="7"/>
      <c r="Q6934" s="7"/>
      <c r="R6934" s="7"/>
      <c r="S6934" s="7"/>
      <c r="T6934" s="7"/>
      <c r="U6934" s="7"/>
      <c r="V6934" s="7"/>
      <c r="W6934" s="7"/>
      <c r="X6934" s="7"/>
      <c r="Y6934" s="7"/>
      <c r="Z6934" s="7"/>
    </row>
    <row r="6935">
      <c r="A6935" s="7"/>
      <c r="B6935" s="7"/>
      <c r="C6935" s="7"/>
      <c r="D6935" s="7"/>
      <c r="E6935" s="7"/>
      <c r="F6935" s="7"/>
      <c r="G6935" s="7"/>
      <c r="H6935" s="7"/>
      <c r="I6935" s="7"/>
      <c r="J6935" s="7"/>
      <c r="K6935" s="7"/>
      <c r="L6935" s="7"/>
      <c r="M6935" s="7"/>
      <c r="N6935" s="7"/>
      <c r="O6935" s="7"/>
      <c r="P6935" s="7"/>
      <c r="Q6935" s="7"/>
      <c r="R6935" s="7"/>
      <c r="S6935" s="7"/>
      <c r="T6935" s="7"/>
      <c r="U6935" s="7"/>
      <c r="V6935" s="7"/>
      <c r="W6935" s="7"/>
      <c r="X6935" s="7"/>
      <c r="Y6935" s="7"/>
      <c r="Z6935" s="7"/>
    </row>
    <row r="6936">
      <c r="A6936" s="7"/>
      <c r="B6936" s="7"/>
      <c r="C6936" s="7"/>
      <c r="D6936" s="7"/>
      <c r="E6936" s="7"/>
      <c r="F6936" s="7"/>
      <c r="G6936" s="7"/>
      <c r="H6936" s="7"/>
      <c r="I6936" s="7"/>
      <c r="J6936" s="7"/>
      <c r="K6936" s="7"/>
      <c r="L6936" s="7"/>
      <c r="M6936" s="7"/>
      <c r="N6936" s="7"/>
      <c r="O6936" s="7"/>
      <c r="P6936" s="7"/>
      <c r="Q6936" s="7"/>
      <c r="R6936" s="7"/>
      <c r="S6936" s="7"/>
      <c r="T6936" s="7"/>
      <c r="U6936" s="7"/>
      <c r="V6936" s="7"/>
      <c r="W6936" s="7"/>
      <c r="X6936" s="7"/>
      <c r="Y6936" s="7"/>
      <c r="Z6936" s="7"/>
    </row>
    <row r="6937">
      <c r="A6937" s="7"/>
      <c r="B6937" s="7"/>
      <c r="C6937" s="7"/>
      <c r="D6937" s="7"/>
      <c r="E6937" s="7"/>
      <c r="F6937" s="7"/>
      <c r="G6937" s="7"/>
      <c r="H6937" s="7"/>
      <c r="I6937" s="7"/>
      <c r="J6937" s="7"/>
      <c r="K6937" s="7"/>
      <c r="L6937" s="7"/>
      <c r="M6937" s="7"/>
      <c r="N6937" s="7"/>
      <c r="O6937" s="7"/>
      <c r="P6937" s="7"/>
      <c r="Q6937" s="7"/>
      <c r="R6937" s="7"/>
      <c r="S6937" s="7"/>
      <c r="T6937" s="7"/>
      <c r="U6937" s="7"/>
      <c r="V6937" s="7"/>
      <c r="W6937" s="7"/>
      <c r="X6937" s="7"/>
      <c r="Y6937" s="7"/>
      <c r="Z6937" s="7"/>
    </row>
    <row r="6938">
      <c r="A6938" s="7"/>
      <c r="B6938" s="7"/>
      <c r="C6938" s="7"/>
      <c r="D6938" s="7"/>
      <c r="E6938" s="7"/>
      <c r="F6938" s="7"/>
      <c r="G6938" s="7"/>
      <c r="H6938" s="7"/>
      <c r="I6938" s="7"/>
      <c r="J6938" s="7"/>
      <c r="K6938" s="7"/>
      <c r="L6938" s="7"/>
      <c r="M6938" s="7"/>
      <c r="N6938" s="7"/>
      <c r="O6938" s="7"/>
      <c r="P6938" s="7"/>
      <c r="Q6938" s="7"/>
      <c r="R6938" s="7"/>
      <c r="S6938" s="7"/>
      <c r="T6938" s="7"/>
      <c r="U6938" s="7"/>
      <c r="V6938" s="7"/>
      <c r="W6938" s="7"/>
      <c r="X6938" s="7"/>
      <c r="Y6938" s="7"/>
      <c r="Z6938" s="7"/>
    </row>
    <row r="6939">
      <c r="A6939" s="7"/>
      <c r="B6939" s="7"/>
      <c r="C6939" s="7"/>
      <c r="D6939" s="7"/>
      <c r="E6939" s="7"/>
      <c r="F6939" s="7"/>
      <c r="G6939" s="7"/>
      <c r="H6939" s="7"/>
      <c r="I6939" s="7"/>
      <c r="J6939" s="7"/>
      <c r="K6939" s="7"/>
      <c r="L6939" s="7"/>
      <c r="M6939" s="7"/>
      <c r="N6939" s="7"/>
      <c r="O6939" s="7"/>
      <c r="P6939" s="7"/>
      <c r="Q6939" s="7"/>
      <c r="R6939" s="7"/>
      <c r="S6939" s="7"/>
      <c r="T6939" s="7"/>
      <c r="U6939" s="7"/>
      <c r="V6939" s="7"/>
      <c r="W6939" s="7"/>
      <c r="X6939" s="7"/>
      <c r="Y6939" s="7"/>
      <c r="Z6939" s="7"/>
    </row>
    <row r="6940">
      <c r="A6940" s="7"/>
      <c r="B6940" s="7"/>
      <c r="C6940" s="7"/>
      <c r="D6940" s="7"/>
      <c r="E6940" s="7"/>
      <c r="F6940" s="7"/>
      <c r="G6940" s="7"/>
      <c r="H6940" s="7"/>
      <c r="I6940" s="7"/>
      <c r="J6940" s="7"/>
      <c r="K6940" s="7"/>
      <c r="L6940" s="7"/>
      <c r="M6940" s="7"/>
      <c r="N6940" s="7"/>
      <c r="O6940" s="7"/>
      <c r="P6940" s="7"/>
      <c r="Q6940" s="7"/>
      <c r="R6940" s="7"/>
      <c r="S6940" s="7"/>
      <c r="T6940" s="7"/>
      <c r="U6940" s="7"/>
      <c r="V6940" s="7"/>
      <c r="W6940" s="7"/>
      <c r="X6940" s="7"/>
      <c r="Y6940" s="7"/>
      <c r="Z6940" s="7"/>
    </row>
    <row r="6941">
      <c r="A6941" s="7"/>
      <c r="B6941" s="7"/>
      <c r="C6941" s="7"/>
      <c r="D6941" s="7"/>
      <c r="E6941" s="7"/>
      <c r="F6941" s="7"/>
      <c r="G6941" s="7"/>
      <c r="H6941" s="7"/>
      <c r="I6941" s="7"/>
      <c r="J6941" s="7"/>
      <c r="K6941" s="7"/>
      <c r="L6941" s="7"/>
      <c r="M6941" s="7"/>
      <c r="N6941" s="7"/>
      <c r="O6941" s="7"/>
      <c r="P6941" s="7"/>
      <c r="Q6941" s="7"/>
      <c r="R6941" s="7"/>
      <c r="S6941" s="7"/>
      <c r="T6941" s="7"/>
      <c r="U6941" s="7"/>
      <c r="V6941" s="7"/>
      <c r="W6941" s="7"/>
      <c r="X6941" s="7"/>
      <c r="Y6941" s="7"/>
      <c r="Z6941" s="7"/>
    </row>
    <row r="6942">
      <c r="A6942" s="7"/>
      <c r="B6942" s="7"/>
      <c r="C6942" s="7"/>
      <c r="D6942" s="7"/>
      <c r="E6942" s="7"/>
      <c r="F6942" s="7"/>
      <c r="G6942" s="7"/>
      <c r="H6942" s="7"/>
      <c r="I6942" s="7"/>
      <c r="J6942" s="7"/>
      <c r="K6942" s="7"/>
      <c r="L6942" s="7"/>
      <c r="M6942" s="7"/>
      <c r="N6942" s="7"/>
      <c r="O6942" s="7"/>
      <c r="P6942" s="7"/>
      <c r="Q6942" s="7"/>
      <c r="R6942" s="7"/>
      <c r="S6942" s="7"/>
      <c r="T6942" s="7"/>
      <c r="U6942" s="7"/>
      <c r="V6942" s="7"/>
      <c r="W6942" s="7"/>
      <c r="X6942" s="7"/>
      <c r="Y6942" s="7"/>
      <c r="Z6942" s="7"/>
    </row>
    <row r="6943">
      <c r="A6943" s="7"/>
      <c r="B6943" s="7"/>
      <c r="C6943" s="7"/>
      <c r="D6943" s="7"/>
      <c r="E6943" s="7"/>
      <c r="F6943" s="7"/>
      <c r="G6943" s="7"/>
      <c r="H6943" s="7"/>
      <c r="I6943" s="7"/>
      <c r="J6943" s="7"/>
      <c r="K6943" s="7"/>
      <c r="L6943" s="7"/>
      <c r="M6943" s="7"/>
      <c r="N6943" s="7"/>
      <c r="O6943" s="7"/>
      <c r="P6943" s="7"/>
      <c r="Q6943" s="7"/>
      <c r="R6943" s="7"/>
      <c r="S6943" s="7"/>
      <c r="T6943" s="7"/>
      <c r="U6943" s="7"/>
      <c r="V6943" s="7"/>
      <c r="W6943" s="7"/>
      <c r="X6943" s="7"/>
      <c r="Y6943" s="7"/>
      <c r="Z6943" s="7"/>
    </row>
    <row r="6944">
      <c r="A6944" s="7"/>
      <c r="B6944" s="7"/>
      <c r="C6944" s="7"/>
      <c r="D6944" s="7"/>
      <c r="E6944" s="7"/>
      <c r="F6944" s="7"/>
      <c r="G6944" s="7"/>
      <c r="H6944" s="7"/>
      <c r="I6944" s="7"/>
      <c r="J6944" s="7"/>
      <c r="K6944" s="7"/>
      <c r="L6944" s="7"/>
      <c r="M6944" s="7"/>
      <c r="N6944" s="7"/>
      <c r="O6944" s="7"/>
      <c r="P6944" s="7"/>
      <c r="Q6944" s="7"/>
      <c r="R6944" s="7"/>
      <c r="S6944" s="7"/>
      <c r="T6944" s="7"/>
      <c r="U6944" s="7"/>
      <c r="V6944" s="7"/>
      <c r="W6944" s="7"/>
      <c r="X6944" s="7"/>
      <c r="Y6944" s="7"/>
      <c r="Z6944" s="7"/>
    </row>
    <row r="6945">
      <c r="A6945" s="7"/>
      <c r="B6945" s="7"/>
      <c r="C6945" s="7"/>
      <c r="D6945" s="7"/>
      <c r="E6945" s="7"/>
      <c r="F6945" s="7"/>
      <c r="G6945" s="7"/>
      <c r="H6945" s="7"/>
      <c r="I6945" s="7"/>
      <c r="J6945" s="7"/>
      <c r="K6945" s="7"/>
      <c r="L6945" s="7"/>
      <c r="M6945" s="7"/>
      <c r="N6945" s="7"/>
      <c r="O6945" s="7"/>
      <c r="P6945" s="7"/>
      <c r="Q6945" s="7"/>
      <c r="R6945" s="7"/>
      <c r="S6945" s="7"/>
      <c r="T6945" s="7"/>
      <c r="U6945" s="7"/>
      <c r="V6945" s="7"/>
      <c r="W6945" s="7"/>
      <c r="X6945" s="7"/>
      <c r="Y6945" s="7"/>
      <c r="Z6945" s="7"/>
    </row>
    <row r="6946">
      <c r="A6946" s="7"/>
      <c r="B6946" s="7"/>
      <c r="C6946" s="7"/>
      <c r="D6946" s="7"/>
      <c r="E6946" s="7"/>
      <c r="F6946" s="7"/>
      <c r="G6946" s="7"/>
      <c r="H6946" s="7"/>
      <c r="I6946" s="7"/>
      <c r="J6946" s="7"/>
      <c r="K6946" s="7"/>
      <c r="L6946" s="7"/>
      <c r="M6946" s="7"/>
      <c r="N6946" s="7"/>
      <c r="O6946" s="7"/>
      <c r="P6946" s="7"/>
      <c r="Q6946" s="7"/>
      <c r="R6946" s="7"/>
      <c r="S6946" s="7"/>
      <c r="T6946" s="7"/>
      <c r="U6946" s="7"/>
      <c r="V6946" s="7"/>
      <c r="W6946" s="7"/>
      <c r="X6946" s="7"/>
      <c r="Y6946" s="7"/>
      <c r="Z6946" s="7"/>
    </row>
    <row r="6947">
      <c r="A6947" s="7"/>
      <c r="B6947" s="7"/>
      <c r="C6947" s="7"/>
      <c r="D6947" s="7"/>
      <c r="E6947" s="7"/>
      <c r="F6947" s="7"/>
      <c r="G6947" s="7"/>
      <c r="H6947" s="7"/>
      <c r="I6947" s="7"/>
      <c r="J6947" s="7"/>
      <c r="K6947" s="7"/>
      <c r="L6947" s="7"/>
      <c r="M6947" s="7"/>
      <c r="N6947" s="7"/>
      <c r="O6947" s="7"/>
      <c r="P6947" s="7"/>
      <c r="Q6947" s="7"/>
      <c r="R6947" s="7"/>
      <c r="S6947" s="7"/>
      <c r="T6947" s="7"/>
      <c r="U6947" s="7"/>
      <c r="V6947" s="7"/>
      <c r="W6947" s="7"/>
      <c r="X6947" s="7"/>
      <c r="Y6947" s="7"/>
      <c r="Z6947" s="7"/>
    </row>
    <row r="6948">
      <c r="A6948" s="7"/>
      <c r="B6948" s="7"/>
      <c r="C6948" s="7"/>
      <c r="D6948" s="7"/>
      <c r="E6948" s="7"/>
      <c r="F6948" s="7"/>
      <c r="G6948" s="7"/>
      <c r="H6948" s="7"/>
      <c r="I6948" s="7"/>
      <c r="J6948" s="7"/>
      <c r="K6948" s="7"/>
      <c r="L6948" s="7"/>
      <c r="M6948" s="7"/>
      <c r="N6948" s="7"/>
      <c r="O6948" s="7"/>
      <c r="P6948" s="7"/>
      <c r="Q6948" s="7"/>
      <c r="R6948" s="7"/>
      <c r="S6948" s="7"/>
      <c r="T6948" s="7"/>
      <c r="U6948" s="7"/>
      <c r="V6948" s="7"/>
      <c r="W6948" s="7"/>
      <c r="X6948" s="7"/>
      <c r="Y6948" s="7"/>
      <c r="Z6948" s="7"/>
    </row>
    <row r="6949">
      <c r="A6949" s="7"/>
      <c r="B6949" s="7"/>
      <c r="C6949" s="7"/>
      <c r="D6949" s="7"/>
      <c r="E6949" s="7"/>
      <c r="F6949" s="7"/>
      <c r="G6949" s="7"/>
      <c r="H6949" s="7"/>
      <c r="I6949" s="7"/>
      <c r="J6949" s="7"/>
      <c r="K6949" s="7"/>
      <c r="L6949" s="7"/>
      <c r="M6949" s="7"/>
      <c r="N6949" s="7"/>
      <c r="O6949" s="7"/>
      <c r="P6949" s="7"/>
      <c r="Q6949" s="7"/>
      <c r="R6949" s="7"/>
      <c r="S6949" s="7"/>
      <c r="T6949" s="7"/>
      <c r="U6949" s="7"/>
      <c r="V6949" s="7"/>
      <c r="W6949" s="7"/>
      <c r="X6949" s="7"/>
      <c r="Y6949" s="7"/>
      <c r="Z6949" s="7"/>
    </row>
    <row r="6950">
      <c r="A6950" s="7"/>
      <c r="B6950" s="7"/>
      <c r="C6950" s="7"/>
      <c r="D6950" s="7"/>
      <c r="E6950" s="7"/>
      <c r="F6950" s="7"/>
      <c r="G6950" s="7"/>
      <c r="H6950" s="7"/>
      <c r="I6950" s="7"/>
      <c r="J6950" s="7"/>
      <c r="K6950" s="7"/>
      <c r="L6950" s="7"/>
      <c r="M6950" s="7"/>
      <c r="N6950" s="7"/>
      <c r="O6950" s="7"/>
      <c r="P6950" s="7"/>
      <c r="Q6950" s="7"/>
      <c r="R6950" s="7"/>
      <c r="S6950" s="7"/>
      <c r="T6950" s="7"/>
      <c r="U6950" s="7"/>
      <c r="V6950" s="7"/>
      <c r="W6950" s="7"/>
      <c r="X6950" s="7"/>
      <c r="Y6950" s="7"/>
      <c r="Z6950" s="7"/>
    </row>
    <row r="6951">
      <c r="A6951" s="7"/>
      <c r="B6951" s="7"/>
      <c r="C6951" s="7"/>
      <c r="D6951" s="7"/>
      <c r="E6951" s="7"/>
      <c r="F6951" s="7"/>
      <c r="G6951" s="7"/>
      <c r="H6951" s="7"/>
      <c r="I6951" s="7"/>
      <c r="J6951" s="7"/>
      <c r="K6951" s="7"/>
      <c r="L6951" s="7"/>
      <c r="M6951" s="7"/>
      <c r="N6951" s="7"/>
      <c r="O6951" s="7"/>
      <c r="P6951" s="7"/>
      <c r="Q6951" s="7"/>
      <c r="R6951" s="7"/>
      <c r="S6951" s="7"/>
      <c r="T6951" s="7"/>
      <c r="U6951" s="7"/>
      <c r="V6951" s="7"/>
      <c r="W6951" s="7"/>
      <c r="X6951" s="7"/>
      <c r="Y6951" s="7"/>
      <c r="Z6951" s="7"/>
    </row>
    <row r="6952">
      <c r="A6952" s="7"/>
      <c r="B6952" s="7"/>
      <c r="C6952" s="7"/>
      <c r="D6952" s="7"/>
      <c r="E6952" s="7"/>
      <c r="F6952" s="7"/>
      <c r="G6952" s="7"/>
      <c r="H6952" s="7"/>
      <c r="I6952" s="7"/>
      <c r="J6952" s="7"/>
      <c r="K6952" s="7"/>
      <c r="L6952" s="7"/>
      <c r="M6952" s="7"/>
      <c r="N6952" s="7"/>
      <c r="O6952" s="7"/>
      <c r="P6952" s="7"/>
      <c r="Q6952" s="7"/>
      <c r="R6952" s="7"/>
      <c r="S6952" s="7"/>
      <c r="T6952" s="7"/>
      <c r="U6952" s="7"/>
      <c r="V6952" s="7"/>
      <c r="W6952" s="7"/>
      <c r="X6952" s="7"/>
      <c r="Y6952" s="7"/>
      <c r="Z6952" s="7"/>
    </row>
    <row r="6953">
      <c r="A6953" s="7"/>
      <c r="B6953" s="7"/>
      <c r="C6953" s="7"/>
      <c r="D6953" s="7"/>
      <c r="E6953" s="7"/>
      <c r="F6953" s="7"/>
      <c r="G6953" s="7"/>
      <c r="H6953" s="7"/>
      <c r="I6953" s="7"/>
      <c r="J6953" s="7"/>
      <c r="K6953" s="7"/>
      <c r="L6953" s="7"/>
      <c r="M6953" s="7"/>
      <c r="N6953" s="7"/>
      <c r="O6953" s="7"/>
      <c r="P6953" s="7"/>
      <c r="Q6953" s="7"/>
      <c r="R6953" s="7"/>
      <c r="S6953" s="7"/>
      <c r="T6953" s="7"/>
      <c r="U6953" s="7"/>
      <c r="V6953" s="7"/>
      <c r="W6953" s="7"/>
      <c r="X6953" s="7"/>
      <c r="Y6953" s="7"/>
      <c r="Z6953" s="7"/>
    </row>
    <row r="6954">
      <c r="A6954" s="7"/>
      <c r="B6954" s="7"/>
      <c r="C6954" s="7"/>
      <c r="D6954" s="7"/>
      <c r="E6954" s="7"/>
      <c r="F6954" s="7"/>
      <c r="G6954" s="7"/>
      <c r="H6954" s="7"/>
      <c r="I6954" s="7"/>
      <c r="J6954" s="7"/>
      <c r="K6954" s="7"/>
      <c r="L6954" s="7"/>
      <c r="M6954" s="7"/>
      <c r="N6954" s="7"/>
      <c r="O6954" s="7"/>
      <c r="P6954" s="7"/>
      <c r="Q6954" s="7"/>
      <c r="R6954" s="7"/>
      <c r="S6954" s="7"/>
      <c r="T6954" s="7"/>
      <c r="U6954" s="7"/>
      <c r="V6954" s="7"/>
      <c r="W6954" s="7"/>
      <c r="X6954" s="7"/>
      <c r="Y6954" s="7"/>
      <c r="Z6954" s="7"/>
    </row>
    <row r="6955">
      <c r="A6955" s="7"/>
      <c r="B6955" s="7"/>
      <c r="C6955" s="7"/>
      <c r="D6955" s="7"/>
      <c r="E6955" s="7"/>
      <c r="F6955" s="7"/>
      <c r="G6955" s="7"/>
      <c r="H6955" s="7"/>
      <c r="I6955" s="7"/>
      <c r="J6955" s="7"/>
      <c r="K6955" s="7"/>
      <c r="L6955" s="7"/>
      <c r="M6955" s="7"/>
      <c r="N6955" s="7"/>
      <c r="O6955" s="7"/>
      <c r="P6955" s="7"/>
      <c r="Q6955" s="7"/>
      <c r="R6955" s="7"/>
      <c r="S6955" s="7"/>
      <c r="T6955" s="7"/>
      <c r="U6955" s="7"/>
      <c r="V6955" s="7"/>
      <c r="W6955" s="7"/>
      <c r="X6955" s="7"/>
      <c r="Y6955" s="7"/>
      <c r="Z6955" s="7"/>
    </row>
    <row r="6956">
      <c r="A6956" s="7"/>
      <c r="B6956" s="7"/>
      <c r="C6956" s="7"/>
      <c r="D6956" s="7"/>
      <c r="E6956" s="7"/>
      <c r="F6956" s="7"/>
      <c r="G6956" s="7"/>
      <c r="H6956" s="7"/>
      <c r="I6956" s="7"/>
      <c r="J6956" s="7"/>
      <c r="K6956" s="7"/>
      <c r="L6956" s="7"/>
      <c r="M6956" s="7"/>
      <c r="N6956" s="7"/>
      <c r="O6956" s="7"/>
      <c r="P6956" s="7"/>
      <c r="Q6956" s="7"/>
      <c r="R6956" s="7"/>
      <c r="S6956" s="7"/>
      <c r="T6956" s="7"/>
      <c r="U6956" s="7"/>
      <c r="V6956" s="7"/>
      <c r="W6956" s="7"/>
      <c r="X6956" s="7"/>
      <c r="Y6956" s="7"/>
      <c r="Z6956" s="7"/>
    </row>
    <row r="6957">
      <c r="A6957" s="7"/>
      <c r="B6957" s="7"/>
      <c r="C6957" s="7"/>
      <c r="D6957" s="7"/>
      <c r="E6957" s="7"/>
      <c r="F6957" s="7"/>
      <c r="G6957" s="7"/>
      <c r="H6957" s="7"/>
      <c r="I6957" s="7"/>
      <c r="J6957" s="7"/>
      <c r="K6957" s="7"/>
      <c r="L6957" s="7"/>
      <c r="M6957" s="7"/>
      <c r="N6957" s="7"/>
      <c r="O6957" s="7"/>
      <c r="P6957" s="7"/>
      <c r="Q6957" s="7"/>
      <c r="R6957" s="7"/>
      <c r="S6957" s="7"/>
      <c r="T6957" s="7"/>
      <c r="U6957" s="7"/>
      <c r="V6957" s="7"/>
      <c r="W6957" s="7"/>
      <c r="X6957" s="7"/>
      <c r="Y6957" s="7"/>
      <c r="Z6957" s="7"/>
    </row>
    <row r="6958">
      <c r="A6958" s="7"/>
      <c r="B6958" s="7"/>
      <c r="C6958" s="7"/>
      <c r="D6958" s="7"/>
      <c r="E6958" s="7"/>
      <c r="F6958" s="7"/>
      <c r="G6958" s="7"/>
      <c r="H6958" s="7"/>
      <c r="I6958" s="7"/>
      <c r="J6958" s="7"/>
      <c r="K6958" s="7"/>
      <c r="L6958" s="7"/>
      <c r="M6958" s="7"/>
      <c r="N6958" s="7"/>
      <c r="O6958" s="7"/>
      <c r="P6958" s="7"/>
      <c r="Q6958" s="7"/>
      <c r="R6958" s="7"/>
      <c r="S6958" s="7"/>
      <c r="T6958" s="7"/>
      <c r="U6958" s="7"/>
      <c r="V6958" s="7"/>
      <c r="W6958" s="7"/>
      <c r="X6958" s="7"/>
      <c r="Y6958" s="7"/>
      <c r="Z6958" s="7"/>
    </row>
    <row r="6959">
      <c r="A6959" s="7"/>
      <c r="B6959" s="7"/>
      <c r="C6959" s="7"/>
      <c r="D6959" s="7"/>
      <c r="E6959" s="7"/>
      <c r="F6959" s="7"/>
      <c r="G6959" s="7"/>
      <c r="H6959" s="7"/>
      <c r="I6959" s="7"/>
      <c r="J6959" s="7"/>
      <c r="K6959" s="7"/>
      <c r="L6959" s="7"/>
      <c r="M6959" s="7"/>
      <c r="N6959" s="7"/>
      <c r="O6959" s="7"/>
      <c r="P6959" s="7"/>
      <c r="Q6959" s="7"/>
      <c r="R6959" s="7"/>
      <c r="S6959" s="7"/>
      <c r="T6959" s="7"/>
      <c r="U6959" s="7"/>
      <c r="V6959" s="7"/>
      <c r="W6959" s="7"/>
      <c r="X6959" s="7"/>
      <c r="Y6959" s="7"/>
      <c r="Z6959" s="7"/>
    </row>
    <row r="6960">
      <c r="A6960" s="7"/>
      <c r="B6960" s="7"/>
      <c r="C6960" s="7"/>
      <c r="D6960" s="7"/>
      <c r="E6960" s="7"/>
      <c r="F6960" s="7"/>
      <c r="G6960" s="7"/>
      <c r="H6960" s="7"/>
      <c r="I6960" s="7"/>
      <c r="J6960" s="7"/>
      <c r="K6960" s="7"/>
      <c r="L6960" s="7"/>
      <c r="M6960" s="7"/>
      <c r="N6960" s="7"/>
      <c r="O6960" s="7"/>
      <c r="P6960" s="7"/>
      <c r="Q6960" s="7"/>
      <c r="R6960" s="7"/>
      <c r="S6960" s="7"/>
      <c r="T6960" s="7"/>
      <c r="U6960" s="7"/>
      <c r="V6960" s="7"/>
      <c r="W6960" s="7"/>
      <c r="X6960" s="7"/>
      <c r="Y6960" s="7"/>
      <c r="Z6960" s="7"/>
    </row>
    <row r="6961">
      <c r="A6961" s="7"/>
      <c r="B6961" s="7"/>
      <c r="C6961" s="7"/>
      <c r="D6961" s="7"/>
      <c r="E6961" s="7"/>
      <c r="F6961" s="7"/>
      <c r="G6961" s="7"/>
      <c r="H6961" s="7"/>
      <c r="I6961" s="7"/>
      <c r="J6961" s="7"/>
      <c r="K6961" s="7"/>
      <c r="L6961" s="7"/>
      <c r="M6961" s="7"/>
      <c r="N6961" s="7"/>
      <c r="O6961" s="7"/>
      <c r="P6961" s="7"/>
      <c r="Q6961" s="7"/>
      <c r="R6961" s="7"/>
      <c r="S6961" s="7"/>
      <c r="T6961" s="7"/>
      <c r="U6961" s="7"/>
      <c r="V6961" s="7"/>
      <c r="W6961" s="7"/>
      <c r="X6961" s="7"/>
      <c r="Y6961" s="7"/>
      <c r="Z6961" s="7"/>
    </row>
    <row r="6962">
      <c r="A6962" s="7"/>
      <c r="B6962" s="7"/>
      <c r="C6962" s="7"/>
      <c r="D6962" s="7"/>
      <c r="E6962" s="7"/>
      <c r="F6962" s="7"/>
      <c r="G6962" s="7"/>
      <c r="H6962" s="7"/>
      <c r="I6962" s="7"/>
      <c r="J6962" s="7"/>
      <c r="K6962" s="7"/>
      <c r="L6962" s="7"/>
      <c r="M6962" s="7"/>
      <c r="N6962" s="7"/>
      <c r="O6962" s="7"/>
      <c r="P6962" s="7"/>
      <c r="Q6962" s="7"/>
      <c r="R6962" s="7"/>
      <c r="S6962" s="7"/>
      <c r="T6962" s="7"/>
      <c r="U6962" s="7"/>
      <c r="V6962" s="7"/>
      <c r="W6962" s="7"/>
      <c r="X6962" s="7"/>
      <c r="Y6962" s="7"/>
      <c r="Z6962" s="7"/>
    </row>
    <row r="6963">
      <c r="A6963" s="7"/>
      <c r="B6963" s="7"/>
      <c r="C6963" s="7"/>
      <c r="D6963" s="7"/>
      <c r="E6963" s="7"/>
      <c r="F6963" s="7"/>
      <c r="G6963" s="7"/>
      <c r="H6963" s="7"/>
      <c r="I6963" s="7"/>
      <c r="J6963" s="7"/>
      <c r="K6963" s="7"/>
      <c r="L6963" s="7"/>
      <c r="M6963" s="7"/>
      <c r="N6963" s="7"/>
      <c r="O6963" s="7"/>
      <c r="P6963" s="7"/>
      <c r="Q6963" s="7"/>
      <c r="R6963" s="7"/>
      <c r="S6963" s="7"/>
      <c r="T6963" s="7"/>
      <c r="U6963" s="7"/>
      <c r="V6963" s="7"/>
      <c r="W6963" s="7"/>
      <c r="X6963" s="7"/>
      <c r="Y6963" s="7"/>
      <c r="Z6963" s="7"/>
    </row>
    <row r="6964">
      <c r="A6964" s="7"/>
      <c r="B6964" s="7"/>
      <c r="C6964" s="7"/>
      <c r="D6964" s="7"/>
      <c r="E6964" s="7"/>
      <c r="F6964" s="7"/>
      <c r="G6964" s="7"/>
      <c r="H6964" s="7"/>
      <c r="I6964" s="7"/>
      <c r="J6964" s="7"/>
      <c r="K6964" s="7"/>
      <c r="L6964" s="7"/>
      <c r="M6964" s="7"/>
      <c r="N6964" s="7"/>
      <c r="O6964" s="7"/>
      <c r="P6964" s="7"/>
      <c r="Q6964" s="7"/>
      <c r="R6964" s="7"/>
      <c r="S6964" s="7"/>
      <c r="T6964" s="7"/>
      <c r="U6964" s="7"/>
      <c r="V6964" s="7"/>
      <c r="W6964" s="7"/>
      <c r="X6964" s="7"/>
      <c r="Y6964" s="7"/>
      <c r="Z6964" s="7"/>
    </row>
    <row r="6965">
      <c r="A6965" s="7"/>
      <c r="B6965" s="7"/>
      <c r="C6965" s="7"/>
      <c r="D6965" s="7"/>
      <c r="E6965" s="7"/>
      <c r="F6965" s="7"/>
      <c r="G6965" s="7"/>
      <c r="H6965" s="7"/>
      <c r="I6965" s="7"/>
      <c r="J6965" s="7"/>
      <c r="K6965" s="7"/>
      <c r="L6965" s="7"/>
      <c r="M6965" s="7"/>
      <c r="N6965" s="7"/>
      <c r="O6965" s="7"/>
      <c r="P6965" s="7"/>
      <c r="Q6965" s="7"/>
      <c r="R6965" s="7"/>
      <c r="S6965" s="7"/>
      <c r="T6965" s="7"/>
      <c r="U6965" s="7"/>
      <c r="V6965" s="7"/>
      <c r="W6965" s="7"/>
      <c r="X6965" s="7"/>
      <c r="Y6965" s="7"/>
      <c r="Z6965" s="7"/>
    </row>
    <row r="6966">
      <c r="A6966" s="7"/>
      <c r="B6966" s="7"/>
      <c r="C6966" s="7"/>
      <c r="D6966" s="7"/>
      <c r="E6966" s="7"/>
      <c r="F6966" s="7"/>
      <c r="G6966" s="7"/>
      <c r="H6966" s="7"/>
      <c r="I6966" s="7"/>
      <c r="J6966" s="7"/>
      <c r="K6966" s="7"/>
      <c r="L6966" s="7"/>
      <c r="M6966" s="7"/>
      <c r="N6966" s="7"/>
      <c r="O6966" s="7"/>
      <c r="P6966" s="7"/>
      <c r="Q6966" s="7"/>
      <c r="R6966" s="7"/>
      <c r="S6966" s="7"/>
      <c r="T6966" s="7"/>
      <c r="U6966" s="7"/>
      <c r="V6966" s="7"/>
      <c r="W6966" s="7"/>
      <c r="X6966" s="7"/>
      <c r="Y6966" s="7"/>
      <c r="Z6966" s="7"/>
    </row>
    <row r="6967">
      <c r="A6967" s="7"/>
      <c r="B6967" s="7"/>
      <c r="C6967" s="7"/>
      <c r="D6967" s="7"/>
      <c r="E6967" s="7"/>
      <c r="F6967" s="7"/>
      <c r="G6967" s="7"/>
      <c r="H6967" s="7"/>
      <c r="I6967" s="7"/>
      <c r="J6967" s="7"/>
      <c r="K6967" s="7"/>
      <c r="L6967" s="7"/>
      <c r="M6967" s="7"/>
      <c r="N6967" s="7"/>
      <c r="O6967" s="7"/>
      <c r="P6967" s="7"/>
      <c r="Q6967" s="7"/>
      <c r="R6967" s="7"/>
      <c r="S6967" s="7"/>
      <c r="T6967" s="7"/>
      <c r="U6967" s="7"/>
      <c r="V6967" s="7"/>
      <c r="W6967" s="7"/>
      <c r="X6967" s="7"/>
      <c r="Y6967" s="7"/>
      <c r="Z6967" s="7"/>
    </row>
    <row r="6968">
      <c r="A6968" s="7"/>
      <c r="B6968" s="7"/>
      <c r="C6968" s="7"/>
      <c r="D6968" s="7"/>
      <c r="E6968" s="7"/>
      <c r="F6968" s="7"/>
      <c r="G6968" s="7"/>
      <c r="H6968" s="7"/>
      <c r="I6968" s="7"/>
      <c r="J6968" s="7"/>
      <c r="K6968" s="7"/>
      <c r="L6968" s="7"/>
      <c r="M6968" s="7"/>
      <c r="N6968" s="7"/>
      <c r="O6968" s="7"/>
      <c r="P6968" s="7"/>
      <c r="Q6968" s="7"/>
      <c r="R6968" s="7"/>
      <c r="S6968" s="7"/>
      <c r="T6968" s="7"/>
      <c r="U6968" s="7"/>
      <c r="V6968" s="7"/>
      <c r="W6968" s="7"/>
      <c r="X6968" s="7"/>
      <c r="Y6968" s="7"/>
      <c r="Z6968" s="7"/>
    </row>
    <row r="6969">
      <c r="A6969" s="7"/>
      <c r="B6969" s="7"/>
      <c r="C6969" s="7"/>
      <c r="D6969" s="7"/>
      <c r="E6969" s="7"/>
      <c r="F6969" s="7"/>
      <c r="G6969" s="7"/>
      <c r="H6969" s="7"/>
      <c r="I6969" s="7"/>
      <c r="J6969" s="7"/>
      <c r="K6969" s="7"/>
      <c r="L6969" s="7"/>
      <c r="M6969" s="7"/>
      <c r="N6969" s="7"/>
      <c r="O6969" s="7"/>
      <c r="P6969" s="7"/>
      <c r="Q6969" s="7"/>
      <c r="R6969" s="7"/>
      <c r="S6969" s="7"/>
      <c r="T6969" s="7"/>
      <c r="U6969" s="7"/>
      <c r="V6969" s="7"/>
      <c r="W6969" s="7"/>
      <c r="X6969" s="7"/>
      <c r="Y6969" s="7"/>
      <c r="Z6969" s="7"/>
    </row>
    <row r="6970">
      <c r="A6970" s="7"/>
      <c r="B6970" s="7"/>
      <c r="C6970" s="7"/>
      <c r="D6970" s="7"/>
      <c r="E6970" s="7"/>
      <c r="F6970" s="7"/>
      <c r="G6970" s="7"/>
      <c r="H6970" s="7"/>
      <c r="I6970" s="7"/>
      <c r="J6970" s="7"/>
      <c r="K6970" s="7"/>
      <c r="L6970" s="7"/>
      <c r="M6970" s="7"/>
      <c r="N6970" s="7"/>
      <c r="O6970" s="7"/>
      <c r="P6970" s="7"/>
      <c r="Q6970" s="7"/>
      <c r="R6970" s="7"/>
      <c r="S6970" s="7"/>
      <c r="T6970" s="7"/>
      <c r="U6970" s="7"/>
      <c r="V6970" s="7"/>
      <c r="W6970" s="7"/>
      <c r="X6970" s="7"/>
      <c r="Y6970" s="7"/>
      <c r="Z6970" s="7"/>
    </row>
    <row r="6971">
      <c r="A6971" s="7"/>
      <c r="B6971" s="7"/>
      <c r="C6971" s="7"/>
      <c r="D6971" s="7"/>
      <c r="E6971" s="7"/>
      <c r="F6971" s="7"/>
      <c r="G6971" s="7"/>
      <c r="H6971" s="7"/>
      <c r="I6971" s="7"/>
      <c r="J6971" s="7"/>
      <c r="K6971" s="7"/>
      <c r="L6971" s="7"/>
      <c r="M6971" s="7"/>
      <c r="N6971" s="7"/>
      <c r="O6971" s="7"/>
      <c r="P6971" s="7"/>
      <c r="Q6971" s="7"/>
      <c r="R6971" s="7"/>
      <c r="S6971" s="7"/>
      <c r="T6971" s="7"/>
      <c r="U6971" s="7"/>
      <c r="V6971" s="7"/>
      <c r="W6971" s="7"/>
      <c r="X6971" s="7"/>
      <c r="Y6971" s="7"/>
      <c r="Z6971" s="7"/>
    </row>
    <row r="6972">
      <c r="A6972" s="7"/>
      <c r="B6972" s="7"/>
      <c r="C6972" s="7"/>
      <c r="D6972" s="7"/>
      <c r="E6972" s="7"/>
      <c r="F6972" s="7"/>
      <c r="G6972" s="7"/>
      <c r="H6972" s="7"/>
      <c r="I6972" s="7"/>
      <c r="J6972" s="7"/>
      <c r="K6972" s="7"/>
      <c r="L6972" s="7"/>
      <c r="M6972" s="7"/>
      <c r="N6972" s="7"/>
      <c r="O6972" s="7"/>
      <c r="P6972" s="7"/>
      <c r="Q6972" s="7"/>
      <c r="R6972" s="7"/>
      <c r="S6972" s="7"/>
      <c r="T6972" s="7"/>
      <c r="U6972" s="7"/>
      <c r="V6972" s="7"/>
      <c r="W6972" s="7"/>
      <c r="X6972" s="7"/>
      <c r="Y6972" s="7"/>
      <c r="Z6972" s="7"/>
    </row>
    <row r="6973">
      <c r="A6973" s="7"/>
      <c r="B6973" s="7"/>
      <c r="C6973" s="7"/>
      <c r="D6973" s="7"/>
      <c r="E6973" s="7"/>
      <c r="F6973" s="7"/>
      <c r="G6973" s="7"/>
      <c r="H6973" s="7"/>
      <c r="I6973" s="7"/>
      <c r="J6973" s="7"/>
      <c r="K6973" s="7"/>
      <c r="L6973" s="7"/>
      <c r="M6973" s="7"/>
      <c r="N6973" s="7"/>
      <c r="O6973" s="7"/>
      <c r="P6973" s="7"/>
      <c r="Q6973" s="7"/>
      <c r="R6973" s="7"/>
      <c r="S6973" s="7"/>
      <c r="T6973" s="7"/>
      <c r="U6973" s="7"/>
      <c r="V6973" s="7"/>
      <c r="W6973" s="7"/>
      <c r="X6973" s="7"/>
      <c r="Y6973" s="7"/>
      <c r="Z6973" s="7"/>
    </row>
    <row r="6974">
      <c r="A6974" s="7"/>
      <c r="B6974" s="7"/>
      <c r="C6974" s="7"/>
      <c r="D6974" s="7"/>
      <c r="E6974" s="7"/>
      <c r="F6974" s="7"/>
      <c r="G6974" s="7"/>
      <c r="H6974" s="7"/>
      <c r="I6974" s="7"/>
      <c r="J6974" s="7"/>
      <c r="K6974" s="7"/>
      <c r="L6974" s="7"/>
      <c r="M6974" s="7"/>
      <c r="N6974" s="7"/>
      <c r="O6974" s="7"/>
      <c r="P6974" s="7"/>
      <c r="Q6974" s="7"/>
      <c r="R6974" s="7"/>
      <c r="S6974" s="7"/>
      <c r="T6974" s="7"/>
      <c r="U6974" s="7"/>
      <c r="V6974" s="7"/>
      <c r="W6974" s="7"/>
      <c r="X6974" s="7"/>
      <c r="Y6974" s="7"/>
      <c r="Z6974" s="7"/>
    </row>
    <row r="6975">
      <c r="A6975" s="7"/>
      <c r="B6975" s="7"/>
      <c r="C6975" s="7"/>
      <c r="D6975" s="7"/>
      <c r="E6975" s="7"/>
      <c r="F6975" s="7"/>
      <c r="G6975" s="7"/>
      <c r="H6975" s="7"/>
      <c r="I6975" s="7"/>
      <c r="J6975" s="7"/>
      <c r="K6975" s="7"/>
      <c r="L6975" s="7"/>
      <c r="M6975" s="7"/>
      <c r="N6975" s="7"/>
      <c r="O6975" s="7"/>
      <c r="P6975" s="7"/>
      <c r="Q6975" s="7"/>
      <c r="R6975" s="7"/>
      <c r="S6975" s="7"/>
      <c r="T6975" s="7"/>
      <c r="U6975" s="7"/>
      <c r="V6975" s="7"/>
      <c r="W6975" s="7"/>
      <c r="X6975" s="7"/>
      <c r="Y6975" s="7"/>
      <c r="Z6975" s="7"/>
    </row>
    <row r="6976">
      <c r="A6976" s="7"/>
      <c r="B6976" s="7"/>
      <c r="C6976" s="7"/>
      <c r="D6976" s="7"/>
      <c r="E6976" s="7"/>
      <c r="F6976" s="7"/>
      <c r="G6976" s="7"/>
      <c r="H6976" s="7"/>
      <c r="I6976" s="7"/>
      <c r="J6976" s="7"/>
      <c r="K6976" s="7"/>
      <c r="L6976" s="7"/>
      <c r="M6976" s="7"/>
      <c r="N6976" s="7"/>
      <c r="O6976" s="7"/>
      <c r="P6976" s="7"/>
      <c r="Q6976" s="7"/>
      <c r="R6976" s="7"/>
      <c r="S6976" s="7"/>
      <c r="T6976" s="7"/>
      <c r="U6976" s="7"/>
      <c r="V6976" s="7"/>
      <c r="W6976" s="7"/>
      <c r="X6976" s="7"/>
      <c r="Y6976" s="7"/>
      <c r="Z6976" s="7"/>
    </row>
    <row r="6977">
      <c r="A6977" s="7"/>
      <c r="B6977" s="7"/>
      <c r="C6977" s="7"/>
      <c r="D6977" s="7"/>
      <c r="E6977" s="7"/>
      <c r="F6977" s="7"/>
      <c r="G6977" s="7"/>
      <c r="H6977" s="7"/>
      <c r="I6977" s="7"/>
      <c r="J6977" s="7"/>
      <c r="K6977" s="7"/>
      <c r="L6977" s="7"/>
      <c r="M6977" s="7"/>
      <c r="N6977" s="7"/>
      <c r="O6977" s="7"/>
      <c r="P6977" s="7"/>
      <c r="Q6977" s="7"/>
      <c r="R6977" s="7"/>
      <c r="S6977" s="7"/>
      <c r="T6977" s="7"/>
      <c r="U6977" s="7"/>
      <c r="V6977" s="7"/>
      <c r="W6977" s="7"/>
      <c r="X6977" s="7"/>
      <c r="Y6977" s="7"/>
      <c r="Z6977" s="7"/>
    </row>
    <row r="6978">
      <c r="A6978" s="7"/>
      <c r="B6978" s="7"/>
      <c r="C6978" s="7"/>
      <c r="D6978" s="7"/>
      <c r="E6978" s="7"/>
      <c r="F6978" s="7"/>
      <c r="G6978" s="7"/>
      <c r="H6978" s="7"/>
      <c r="I6978" s="7"/>
      <c r="J6978" s="7"/>
      <c r="K6978" s="7"/>
      <c r="L6978" s="7"/>
      <c r="M6978" s="7"/>
      <c r="N6978" s="7"/>
      <c r="O6978" s="7"/>
      <c r="P6978" s="7"/>
      <c r="Q6978" s="7"/>
      <c r="R6978" s="7"/>
      <c r="S6978" s="7"/>
      <c r="T6978" s="7"/>
      <c r="U6978" s="7"/>
      <c r="V6978" s="7"/>
      <c r="W6978" s="7"/>
      <c r="X6978" s="7"/>
      <c r="Y6978" s="7"/>
      <c r="Z6978" s="7"/>
    </row>
    <row r="6979">
      <c r="A6979" s="7"/>
      <c r="B6979" s="7"/>
      <c r="C6979" s="7"/>
      <c r="D6979" s="7"/>
      <c r="E6979" s="7"/>
      <c r="F6979" s="7"/>
      <c r="G6979" s="7"/>
      <c r="H6979" s="7"/>
      <c r="I6979" s="7"/>
      <c r="J6979" s="7"/>
      <c r="K6979" s="7"/>
      <c r="L6979" s="7"/>
      <c r="M6979" s="7"/>
      <c r="N6979" s="7"/>
      <c r="O6979" s="7"/>
      <c r="P6979" s="7"/>
      <c r="Q6979" s="7"/>
      <c r="R6979" s="7"/>
      <c r="S6979" s="7"/>
      <c r="T6979" s="7"/>
      <c r="U6979" s="7"/>
      <c r="V6979" s="7"/>
      <c r="W6979" s="7"/>
      <c r="X6979" s="7"/>
      <c r="Y6979" s="7"/>
      <c r="Z6979" s="7"/>
    </row>
    <row r="6980">
      <c r="A6980" s="7"/>
      <c r="B6980" s="7"/>
      <c r="C6980" s="7"/>
      <c r="D6980" s="7"/>
      <c r="E6980" s="7"/>
      <c r="F6980" s="7"/>
      <c r="G6980" s="7"/>
      <c r="H6980" s="7"/>
      <c r="I6980" s="7"/>
      <c r="J6980" s="7"/>
      <c r="K6980" s="7"/>
      <c r="L6980" s="7"/>
      <c r="M6980" s="7"/>
      <c r="N6980" s="7"/>
      <c r="O6980" s="7"/>
      <c r="P6980" s="7"/>
      <c r="Q6980" s="7"/>
      <c r="R6980" s="7"/>
      <c r="S6980" s="7"/>
      <c r="T6980" s="7"/>
      <c r="U6980" s="7"/>
      <c r="V6980" s="7"/>
      <c r="W6980" s="7"/>
      <c r="X6980" s="7"/>
      <c r="Y6980" s="7"/>
      <c r="Z6980" s="7"/>
    </row>
    <row r="6981">
      <c r="A6981" s="7"/>
      <c r="B6981" s="7"/>
      <c r="C6981" s="7"/>
      <c r="D6981" s="7"/>
      <c r="E6981" s="7"/>
      <c r="F6981" s="7"/>
      <c r="G6981" s="7"/>
      <c r="H6981" s="7"/>
      <c r="I6981" s="7"/>
      <c r="J6981" s="7"/>
      <c r="K6981" s="7"/>
      <c r="L6981" s="7"/>
      <c r="M6981" s="7"/>
      <c r="N6981" s="7"/>
      <c r="O6981" s="7"/>
      <c r="P6981" s="7"/>
      <c r="Q6981" s="7"/>
      <c r="R6981" s="7"/>
      <c r="S6981" s="7"/>
      <c r="T6981" s="7"/>
      <c r="U6981" s="7"/>
      <c r="V6981" s="7"/>
      <c r="W6981" s="7"/>
      <c r="X6981" s="7"/>
      <c r="Y6981" s="7"/>
      <c r="Z6981" s="7"/>
    </row>
    <row r="6982">
      <c r="A6982" s="7"/>
      <c r="B6982" s="7"/>
      <c r="C6982" s="7"/>
      <c r="D6982" s="7"/>
      <c r="E6982" s="7"/>
      <c r="F6982" s="7"/>
      <c r="G6982" s="7"/>
      <c r="H6982" s="7"/>
      <c r="I6982" s="7"/>
      <c r="J6982" s="7"/>
      <c r="K6982" s="7"/>
      <c r="L6982" s="7"/>
      <c r="M6982" s="7"/>
      <c r="N6982" s="7"/>
      <c r="O6982" s="7"/>
      <c r="P6982" s="7"/>
      <c r="Q6982" s="7"/>
      <c r="R6982" s="7"/>
      <c r="S6982" s="7"/>
      <c r="T6982" s="7"/>
      <c r="U6982" s="7"/>
      <c r="V6982" s="7"/>
      <c r="W6982" s="7"/>
      <c r="X6982" s="7"/>
      <c r="Y6982" s="7"/>
      <c r="Z6982" s="7"/>
    </row>
    <row r="6983">
      <c r="A6983" s="7"/>
      <c r="B6983" s="7"/>
      <c r="C6983" s="7"/>
      <c r="D6983" s="7"/>
      <c r="E6983" s="7"/>
      <c r="F6983" s="7"/>
      <c r="G6983" s="7"/>
      <c r="H6983" s="7"/>
      <c r="I6983" s="7"/>
      <c r="J6983" s="7"/>
      <c r="K6983" s="7"/>
      <c r="L6983" s="7"/>
      <c r="M6983" s="7"/>
      <c r="N6983" s="7"/>
      <c r="O6983" s="7"/>
      <c r="P6983" s="7"/>
      <c r="Q6983" s="7"/>
      <c r="R6983" s="7"/>
      <c r="S6983" s="7"/>
      <c r="T6983" s="7"/>
      <c r="U6983" s="7"/>
      <c r="V6983" s="7"/>
      <c r="W6983" s="7"/>
      <c r="X6983" s="7"/>
      <c r="Y6983" s="7"/>
      <c r="Z6983" s="7"/>
    </row>
    <row r="6984">
      <c r="A6984" s="7"/>
      <c r="B6984" s="7"/>
      <c r="C6984" s="7"/>
      <c r="D6984" s="7"/>
      <c r="E6984" s="7"/>
      <c r="F6984" s="7"/>
      <c r="G6984" s="7"/>
      <c r="H6984" s="7"/>
      <c r="I6984" s="7"/>
      <c r="J6984" s="7"/>
      <c r="K6984" s="7"/>
      <c r="L6984" s="7"/>
      <c r="M6984" s="7"/>
      <c r="N6984" s="7"/>
      <c r="O6984" s="7"/>
      <c r="P6984" s="7"/>
      <c r="Q6984" s="7"/>
      <c r="R6984" s="7"/>
      <c r="S6984" s="7"/>
      <c r="T6984" s="7"/>
      <c r="U6984" s="7"/>
      <c r="V6984" s="7"/>
      <c r="W6984" s="7"/>
      <c r="X6984" s="7"/>
      <c r="Y6984" s="7"/>
      <c r="Z6984" s="7"/>
    </row>
    <row r="6985">
      <c r="A6985" s="7"/>
      <c r="B6985" s="7"/>
      <c r="C6985" s="7"/>
      <c r="D6985" s="7"/>
      <c r="E6985" s="7"/>
      <c r="F6985" s="7"/>
      <c r="G6985" s="7"/>
      <c r="H6985" s="7"/>
      <c r="I6985" s="7"/>
      <c r="J6985" s="7"/>
      <c r="K6985" s="7"/>
      <c r="L6985" s="7"/>
      <c r="M6985" s="7"/>
      <c r="N6985" s="7"/>
      <c r="O6985" s="7"/>
      <c r="P6985" s="7"/>
      <c r="Q6985" s="7"/>
      <c r="R6985" s="7"/>
      <c r="S6985" s="7"/>
      <c r="T6985" s="7"/>
      <c r="U6985" s="7"/>
      <c r="V6985" s="7"/>
      <c r="W6985" s="7"/>
      <c r="X6985" s="7"/>
      <c r="Y6985" s="7"/>
      <c r="Z6985" s="7"/>
    </row>
    <row r="6986">
      <c r="A6986" s="7"/>
      <c r="B6986" s="7"/>
      <c r="C6986" s="7"/>
      <c r="D6986" s="7"/>
      <c r="E6986" s="7"/>
      <c r="F6986" s="7"/>
      <c r="G6986" s="7"/>
      <c r="H6986" s="7"/>
      <c r="I6986" s="7"/>
      <c r="J6986" s="7"/>
      <c r="K6986" s="7"/>
      <c r="L6986" s="7"/>
      <c r="M6986" s="7"/>
      <c r="N6986" s="7"/>
      <c r="O6986" s="7"/>
      <c r="P6986" s="7"/>
      <c r="Q6986" s="7"/>
      <c r="R6986" s="7"/>
      <c r="S6986" s="7"/>
      <c r="T6986" s="7"/>
      <c r="U6986" s="7"/>
      <c r="V6986" s="7"/>
      <c r="W6986" s="7"/>
      <c r="X6986" s="7"/>
      <c r="Y6986" s="7"/>
      <c r="Z6986" s="7"/>
    </row>
    <row r="6987">
      <c r="A6987" s="7"/>
      <c r="B6987" s="7"/>
      <c r="C6987" s="7"/>
      <c r="D6987" s="7"/>
      <c r="E6987" s="7"/>
      <c r="F6987" s="7"/>
      <c r="G6987" s="7"/>
      <c r="H6987" s="7"/>
      <c r="I6987" s="7"/>
      <c r="J6987" s="7"/>
      <c r="K6987" s="7"/>
      <c r="L6987" s="7"/>
      <c r="M6987" s="7"/>
      <c r="N6987" s="7"/>
      <c r="O6987" s="7"/>
      <c r="P6987" s="7"/>
      <c r="Q6987" s="7"/>
      <c r="R6987" s="7"/>
      <c r="S6987" s="7"/>
      <c r="T6987" s="7"/>
      <c r="U6987" s="7"/>
      <c r="V6987" s="7"/>
      <c r="W6987" s="7"/>
      <c r="X6987" s="7"/>
      <c r="Y6987" s="7"/>
      <c r="Z6987" s="7"/>
    </row>
    <row r="6988">
      <c r="A6988" s="7"/>
      <c r="B6988" s="7"/>
      <c r="C6988" s="7"/>
      <c r="D6988" s="7"/>
      <c r="E6988" s="7"/>
      <c r="F6988" s="7"/>
      <c r="G6988" s="7"/>
      <c r="H6988" s="7"/>
      <c r="I6988" s="7"/>
      <c r="J6988" s="7"/>
      <c r="K6988" s="7"/>
      <c r="L6988" s="7"/>
      <c r="M6988" s="7"/>
      <c r="N6988" s="7"/>
      <c r="O6988" s="7"/>
      <c r="P6988" s="7"/>
      <c r="Q6988" s="7"/>
      <c r="R6988" s="7"/>
      <c r="S6988" s="7"/>
      <c r="T6988" s="7"/>
      <c r="U6988" s="7"/>
      <c r="V6988" s="7"/>
      <c r="W6988" s="7"/>
      <c r="X6988" s="7"/>
      <c r="Y6988" s="7"/>
      <c r="Z6988" s="7"/>
    </row>
    <row r="6989">
      <c r="A6989" s="7"/>
      <c r="B6989" s="7"/>
      <c r="C6989" s="7"/>
      <c r="D6989" s="7"/>
      <c r="E6989" s="7"/>
      <c r="F6989" s="7"/>
      <c r="G6989" s="7"/>
      <c r="H6989" s="7"/>
      <c r="I6989" s="7"/>
      <c r="J6989" s="7"/>
      <c r="K6989" s="7"/>
      <c r="L6989" s="7"/>
      <c r="M6989" s="7"/>
      <c r="N6989" s="7"/>
      <c r="O6989" s="7"/>
      <c r="P6989" s="7"/>
      <c r="Q6989" s="7"/>
      <c r="R6989" s="7"/>
      <c r="S6989" s="7"/>
      <c r="T6989" s="7"/>
      <c r="U6989" s="7"/>
      <c r="V6989" s="7"/>
      <c r="W6989" s="7"/>
      <c r="X6989" s="7"/>
      <c r="Y6989" s="7"/>
      <c r="Z6989" s="7"/>
    </row>
    <row r="6990">
      <c r="A6990" s="7"/>
      <c r="B6990" s="7"/>
      <c r="C6990" s="7"/>
      <c r="D6990" s="7"/>
      <c r="E6990" s="7"/>
      <c r="F6990" s="7"/>
      <c r="G6990" s="7"/>
      <c r="H6990" s="7"/>
      <c r="I6990" s="7"/>
      <c r="J6990" s="7"/>
      <c r="K6990" s="7"/>
      <c r="L6990" s="7"/>
      <c r="M6990" s="7"/>
      <c r="N6990" s="7"/>
      <c r="O6990" s="7"/>
      <c r="P6990" s="7"/>
      <c r="Q6990" s="7"/>
      <c r="R6990" s="7"/>
      <c r="S6990" s="7"/>
      <c r="T6990" s="7"/>
      <c r="U6990" s="7"/>
      <c r="V6990" s="7"/>
      <c r="W6990" s="7"/>
      <c r="X6990" s="7"/>
      <c r="Y6990" s="7"/>
      <c r="Z6990" s="7"/>
    </row>
    <row r="6991">
      <c r="A6991" s="7"/>
      <c r="B6991" s="7"/>
      <c r="C6991" s="7"/>
      <c r="D6991" s="7"/>
      <c r="E6991" s="7"/>
      <c r="F6991" s="7"/>
      <c r="G6991" s="7"/>
      <c r="H6991" s="7"/>
      <c r="I6991" s="7"/>
      <c r="J6991" s="7"/>
      <c r="K6991" s="7"/>
      <c r="L6991" s="7"/>
      <c r="M6991" s="7"/>
      <c r="N6991" s="7"/>
      <c r="O6991" s="7"/>
      <c r="P6991" s="7"/>
      <c r="Q6991" s="7"/>
      <c r="R6991" s="7"/>
      <c r="S6991" s="7"/>
      <c r="T6991" s="7"/>
      <c r="U6991" s="7"/>
      <c r="V6991" s="7"/>
      <c r="W6991" s="7"/>
      <c r="X6991" s="7"/>
      <c r="Y6991" s="7"/>
      <c r="Z6991" s="7"/>
    </row>
    <row r="6992">
      <c r="A6992" s="7"/>
      <c r="B6992" s="7"/>
      <c r="C6992" s="7"/>
      <c r="D6992" s="7"/>
      <c r="E6992" s="7"/>
      <c r="F6992" s="7"/>
      <c r="G6992" s="7"/>
      <c r="H6992" s="7"/>
      <c r="I6992" s="7"/>
      <c r="J6992" s="7"/>
      <c r="K6992" s="7"/>
      <c r="L6992" s="7"/>
      <c r="M6992" s="7"/>
      <c r="N6992" s="7"/>
      <c r="O6992" s="7"/>
      <c r="P6992" s="7"/>
      <c r="Q6992" s="7"/>
      <c r="R6992" s="7"/>
      <c r="S6992" s="7"/>
      <c r="T6992" s="7"/>
      <c r="U6992" s="7"/>
      <c r="V6992" s="7"/>
      <c r="W6992" s="7"/>
      <c r="X6992" s="7"/>
      <c r="Y6992" s="7"/>
      <c r="Z6992" s="7"/>
    </row>
    <row r="6993">
      <c r="A6993" s="7"/>
      <c r="B6993" s="7"/>
      <c r="C6993" s="7"/>
      <c r="D6993" s="7"/>
      <c r="E6993" s="7"/>
      <c r="F6993" s="7"/>
      <c r="G6993" s="7"/>
      <c r="H6993" s="7"/>
      <c r="I6993" s="7"/>
      <c r="J6993" s="7"/>
      <c r="K6993" s="7"/>
      <c r="L6993" s="7"/>
      <c r="M6993" s="7"/>
      <c r="N6993" s="7"/>
      <c r="O6993" s="7"/>
      <c r="P6993" s="7"/>
      <c r="Q6993" s="7"/>
      <c r="R6993" s="7"/>
      <c r="S6993" s="7"/>
      <c r="T6993" s="7"/>
      <c r="U6993" s="7"/>
      <c r="V6993" s="7"/>
      <c r="W6993" s="7"/>
      <c r="X6993" s="7"/>
      <c r="Y6993" s="7"/>
      <c r="Z6993" s="7"/>
    </row>
    <row r="6994">
      <c r="A6994" s="7"/>
      <c r="B6994" s="7"/>
      <c r="C6994" s="7"/>
      <c r="D6994" s="7"/>
      <c r="E6994" s="7"/>
      <c r="F6994" s="7"/>
      <c r="G6994" s="7"/>
      <c r="H6994" s="7"/>
      <c r="I6994" s="7"/>
      <c r="J6994" s="7"/>
      <c r="K6994" s="7"/>
      <c r="L6994" s="7"/>
      <c r="M6994" s="7"/>
      <c r="N6994" s="7"/>
      <c r="O6994" s="7"/>
      <c r="P6994" s="7"/>
      <c r="Q6994" s="7"/>
      <c r="R6994" s="7"/>
      <c r="S6994" s="7"/>
      <c r="T6994" s="7"/>
      <c r="U6994" s="7"/>
      <c r="V6994" s="7"/>
      <c r="W6994" s="7"/>
      <c r="X6994" s="7"/>
      <c r="Y6994" s="7"/>
      <c r="Z6994" s="7"/>
    </row>
    <row r="6995">
      <c r="A6995" s="7"/>
      <c r="B6995" s="7"/>
      <c r="C6995" s="7"/>
      <c r="D6995" s="7"/>
      <c r="E6995" s="7"/>
      <c r="F6995" s="7"/>
      <c r="G6995" s="7"/>
      <c r="H6995" s="7"/>
      <c r="I6995" s="7"/>
      <c r="J6995" s="7"/>
      <c r="K6995" s="7"/>
      <c r="L6995" s="7"/>
      <c r="M6995" s="7"/>
      <c r="N6995" s="7"/>
      <c r="O6995" s="7"/>
      <c r="P6995" s="7"/>
      <c r="Q6995" s="7"/>
      <c r="R6995" s="7"/>
      <c r="S6995" s="7"/>
      <c r="T6995" s="7"/>
      <c r="U6995" s="7"/>
      <c r="V6995" s="7"/>
      <c r="W6995" s="7"/>
      <c r="X6995" s="7"/>
      <c r="Y6995" s="7"/>
      <c r="Z6995" s="7"/>
    </row>
    <row r="6996">
      <c r="A6996" s="7"/>
      <c r="B6996" s="7"/>
      <c r="C6996" s="7"/>
      <c r="D6996" s="7"/>
      <c r="E6996" s="7"/>
      <c r="F6996" s="7"/>
      <c r="G6996" s="7"/>
      <c r="H6996" s="7"/>
      <c r="I6996" s="7"/>
      <c r="J6996" s="7"/>
      <c r="K6996" s="7"/>
      <c r="L6996" s="7"/>
      <c r="M6996" s="7"/>
      <c r="N6996" s="7"/>
      <c r="O6996" s="7"/>
      <c r="P6996" s="7"/>
      <c r="Q6996" s="7"/>
      <c r="R6996" s="7"/>
      <c r="S6996" s="7"/>
      <c r="T6996" s="7"/>
      <c r="U6996" s="7"/>
      <c r="V6996" s="7"/>
      <c r="W6996" s="7"/>
      <c r="X6996" s="7"/>
      <c r="Y6996" s="7"/>
      <c r="Z6996" s="7"/>
    </row>
    <row r="6997">
      <c r="A6997" s="7"/>
      <c r="B6997" s="7"/>
      <c r="C6997" s="7"/>
      <c r="D6997" s="7"/>
      <c r="E6997" s="7"/>
      <c r="F6997" s="7"/>
      <c r="G6997" s="7"/>
      <c r="H6997" s="7"/>
      <c r="I6997" s="7"/>
      <c r="J6997" s="7"/>
      <c r="K6997" s="7"/>
      <c r="L6997" s="7"/>
      <c r="M6997" s="7"/>
      <c r="N6997" s="7"/>
      <c r="O6997" s="7"/>
      <c r="P6997" s="7"/>
      <c r="Q6997" s="7"/>
      <c r="R6997" s="7"/>
      <c r="S6997" s="7"/>
      <c r="T6997" s="7"/>
      <c r="U6997" s="7"/>
      <c r="V6997" s="7"/>
      <c r="W6997" s="7"/>
      <c r="X6997" s="7"/>
      <c r="Y6997" s="7"/>
      <c r="Z6997" s="7"/>
    </row>
    <row r="6998">
      <c r="A6998" s="7"/>
      <c r="B6998" s="7"/>
      <c r="C6998" s="7"/>
      <c r="D6998" s="7"/>
      <c r="E6998" s="7"/>
      <c r="F6998" s="7"/>
      <c r="G6998" s="7"/>
      <c r="H6998" s="7"/>
      <c r="I6998" s="7"/>
      <c r="J6998" s="7"/>
      <c r="K6998" s="7"/>
      <c r="L6998" s="7"/>
      <c r="M6998" s="7"/>
      <c r="N6998" s="7"/>
      <c r="O6998" s="7"/>
      <c r="P6998" s="7"/>
      <c r="Q6998" s="7"/>
      <c r="R6998" s="7"/>
      <c r="S6998" s="7"/>
      <c r="T6998" s="7"/>
      <c r="U6998" s="7"/>
      <c r="V6998" s="7"/>
      <c r="W6998" s="7"/>
      <c r="X6998" s="7"/>
      <c r="Y6998" s="7"/>
      <c r="Z6998" s="7"/>
    </row>
    <row r="6999">
      <c r="A6999" s="7"/>
      <c r="B6999" s="7"/>
      <c r="C6999" s="7"/>
      <c r="D6999" s="7"/>
      <c r="E6999" s="7"/>
      <c r="F6999" s="7"/>
      <c r="G6999" s="7"/>
      <c r="H6999" s="7"/>
      <c r="I6999" s="7"/>
      <c r="J6999" s="7"/>
      <c r="K6999" s="7"/>
      <c r="L6999" s="7"/>
      <c r="M6999" s="7"/>
      <c r="N6999" s="7"/>
      <c r="O6999" s="7"/>
      <c r="P6999" s="7"/>
      <c r="Q6999" s="7"/>
      <c r="R6999" s="7"/>
      <c r="S6999" s="7"/>
      <c r="T6999" s="7"/>
      <c r="U6999" s="7"/>
      <c r="V6999" s="7"/>
      <c r="W6999" s="7"/>
      <c r="X6999" s="7"/>
      <c r="Y6999" s="7"/>
      <c r="Z6999" s="7"/>
    </row>
    <row r="7000">
      <c r="A7000" s="7"/>
      <c r="B7000" s="7"/>
      <c r="C7000" s="7"/>
      <c r="D7000" s="7"/>
      <c r="E7000" s="7"/>
      <c r="F7000" s="7"/>
      <c r="G7000" s="7"/>
      <c r="H7000" s="7"/>
      <c r="I7000" s="7"/>
      <c r="J7000" s="7"/>
      <c r="K7000" s="7"/>
      <c r="L7000" s="7"/>
      <c r="M7000" s="7"/>
      <c r="N7000" s="7"/>
      <c r="O7000" s="7"/>
      <c r="P7000" s="7"/>
      <c r="Q7000" s="7"/>
      <c r="R7000" s="7"/>
      <c r="S7000" s="7"/>
      <c r="T7000" s="7"/>
      <c r="U7000" s="7"/>
      <c r="V7000" s="7"/>
      <c r="W7000" s="7"/>
      <c r="X7000" s="7"/>
      <c r="Y7000" s="7"/>
      <c r="Z7000" s="7"/>
    </row>
  </sheetData>
  <hyperlinks>
    <hyperlink r:id="rId1" ref="H6"/>
  </hyperlinks>
  <drawing r:id="rId2"/>
</worksheet>
</file>